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752" windowHeight="9555"/>
  </bookViews>
  <sheets>
    <sheet name="配置映射表" sheetId="1" r:id="rId1"/>
    <sheet name="参考映射表" sheetId="2" r:id="rId2"/>
  </sheets>
  <definedNames>
    <definedName name="_xlnm._FilterDatabase" localSheetId="0" hidden="1">配置映射表!$A$1:$K$1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<sst xmlns="http://schemas.openxmlformats.org/spreadsheetml/2006/main" count="158" uniqueCount="68">
  <si>
    <t>银行</t>
  </si>
  <si>
    <t>时间</t>
  </si>
  <si>
    <t>收入标识</t>
  </si>
  <si>
    <t>支出标识</t>
  </si>
  <si>
    <t>金额列</t>
  </si>
  <si>
    <t>标识列</t>
  </si>
  <si>
    <t>收入</t>
  </si>
  <si>
    <t>支出</t>
  </si>
  <si>
    <t>余额</t>
  </si>
  <si>
    <t>户名</t>
  </si>
  <si>
    <t>摘要</t>
  </si>
  <si>
    <t>收款人户名</t>
  </si>
  <si>
    <t>付款人户名</t>
  </si>
  <si>
    <t>test银行</t>
  </si>
  <si>
    <t>交通银行</t>
  </si>
  <si>
    <t>交易日期</t>
  </si>
  <si>
    <t>贷方发生额</t>
  </si>
  <si>
    <t>借方发生额</t>
  </si>
  <si>
    <t>对方户名</t>
  </si>
  <si>
    <t>兴业银行</t>
  </si>
  <si>
    <t>记账日期</t>
  </si>
  <si>
    <t>贷方金额(收入)</t>
  </si>
  <si>
    <t>借方金额(支出)</t>
  </si>
  <si>
    <t>账户余额</t>
  </si>
  <si>
    <t>招商银行</t>
  </si>
  <si>
    <t>交易日</t>
  </si>
  <si>
    <t>贷方金额</t>
  </si>
  <si>
    <t>借方金额</t>
  </si>
  <si>
    <t>收(付)方名称</t>
  </si>
  <si>
    <t>浙商银行</t>
  </si>
  <si>
    <t>交易时间</t>
  </si>
  <si>
    <t>+</t>
  </si>
  <si>
    <t>-</t>
  </si>
  <si>
    <t>发生金额(元)</t>
  </si>
  <si>
    <t>无</t>
  </si>
  <si>
    <t>交易后余额(元)</t>
  </si>
  <si>
    <t>对方名称</t>
  </si>
  <si>
    <t>中国工商银行</t>
  </si>
  <si>
    <t>转入金额</t>
  </si>
  <si>
    <t>转出金额</t>
  </si>
  <si>
    <t>对方单位</t>
  </si>
  <si>
    <t>中国银行</t>
  </si>
  <si>
    <t>交易日期[ Transaction Date ]</t>
  </si>
  <si>
    <t>交易金额[ Trade Amount ]</t>
  </si>
  <si>
    <t>交易后余额[ After-transaction balance ]</t>
  </si>
  <si>
    <t>摘要[ Reference ]</t>
  </si>
  <si>
    <r>
      <rPr>
        <sz val="10"/>
        <rFont val="宋体"/>
        <charset val="0"/>
      </rPr>
      <t>收款人名称</t>
    </r>
    <r>
      <rPr>
        <sz val="10"/>
        <rFont val="Arial"/>
        <charset val="0"/>
      </rPr>
      <t>[ Payee's Name ]</t>
    </r>
  </si>
  <si>
    <t>付款人名称[ Payer's Name ]</t>
  </si>
  <si>
    <t>广发银行</t>
  </si>
  <si>
    <t>上海浦东发展银行</t>
  </si>
  <si>
    <t>中国光大银行</t>
  </si>
  <si>
    <t>中国建设银行</t>
  </si>
  <si>
    <t>贷方发生额（收入）</t>
  </si>
  <si>
    <t>借方发生额（支取）</t>
  </si>
  <si>
    <t>中国农业银行</t>
  </si>
  <si>
    <t>收入金额</t>
  </si>
  <si>
    <t>支出金额</t>
  </si>
  <si>
    <t>中国邮政储蓄银行</t>
  </si>
  <si>
    <t>中信银行</t>
  </si>
  <si>
    <t>对方账户名称</t>
  </si>
  <si>
    <t>中原银行</t>
  </si>
  <si>
    <t>交易金额</t>
  </si>
  <si>
    <t>收支状况</t>
  </si>
  <si>
    <t>附言</t>
  </si>
  <si>
    <t>淇县农村信用合作联社</t>
  </si>
  <si>
    <t>备注</t>
  </si>
  <si>
    <t>中国农业发展银行</t>
  </si>
  <si>
    <t>交易对手名称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</si>
</sst>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4">
    <font>
      <sz val="11"/>
      <color theme="1"/>
      <name val="宋体"/>
      <charset val="134"/>
      <scheme val="minor"/>
    </font>
    <font>
      <b/>
      <sz val="11"/>
      <color theme="0"/>
      <name val="宋体"/>
      <charset val="134"/>
    </font>
    <font>
      <sz val="11"/>
      <color indexed="8"/>
      <name val="宋体"/>
      <charset val="134"/>
      <scheme val="minor"/>
    </font>
    <font>
      <sz val="10"/>
      <name val="宋体"/>
      <charset val="0"/>
    </font>
    <font>
      <sz val="10"/>
      <name val="Arial"/>
      <charset val="0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4" borderId="5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0" borderId="7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5" borderId="8" applyNumberFormat="0" applyAlignment="0" applyProtection="0">
      <alignment vertical="center"/>
    </xf>
    <xf numFmtId="0" fontId="14" fillId="6" borderId="9" applyNumberFormat="0" applyAlignment="0" applyProtection="0">
      <alignment vertical="center"/>
    </xf>
    <xf numFmtId="0" fontId="15" fillId="6" borderId="8" applyNumberFormat="0" applyAlignment="0" applyProtection="0">
      <alignment vertical="center"/>
    </xf>
    <xf numFmtId="0" fontId="16" fillId="7" borderId="10" applyNumberFormat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3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" borderId="0" applyNumberFormat="0" applyBorder="0" applyAlignment="0" applyProtection="0">
      <alignment vertical="center"/>
    </xf>
    <xf numFmtId="0" fontId="23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>
      <alignment vertical="center"/>
    </xf>
    <xf numFmtId="0" fontId="2" fillId="0" borderId="1" xfId="0" applyFont="1" applyBorder="1" applyAlignment="1">
      <alignment horizontal="left" vertical="center" wrapText="1"/>
    </xf>
    <xf numFmtId="0" fontId="0" fillId="0" borderId="2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3" fillId="0" borderId="1" xfId="0" applyFont="1" applyFill="1" applyBorder="1" applyAlignment="1"/>
    <xf numFmtId="0" fontId="4" fillId="0" borderId="1" xfId="0" applyFont="1" applyFill="1" applyBorder="1" applyAlignment="1"/>
    <xf numFmtId="0" fontId="1" fillId="3" borderId="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2</xdr:row>
          <xdr:rowOff>71438</xdr:rowOff>
        </xdr:from>
        <xdr:to>
          <xdr:col>13</xdr:col>
          <xdr:colOff>295275</xdr:colOff>
          <xdr:row>6</xdr:row>
          <xdr:rowOff>242888</xdr:rowOff>
        </xdr:to>
        <xdr:sp macro="[0]!ListSubfolders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042390" y="1099820"/>
              <a:ext cx="1367790" cy="78613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导入文件夹名称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6"/>
  <sheetViews>
    <sheetView showGridLines="0" tabSelected="1" zoomScale="85" zoomScaleNormal="85" topLeftCell="B1" workbookViewId="0">
      <selection activeCell="M2" sqref="M2"/>
    </sheetView>
  </sheetViews>
  <sheetFormatPr defaultColWidth="9.53097345132743" defaultRowHeight="13.5"/>
  <cols>
    <col min="1" max="1" width="41.5309734513274" customWidth="1"/>
    <col min="2" max="2" width="28.7345132743363" customWidth="1"/>
    <col min="3" max="3" width="9.66371681415929" customWidth="1" outlineLevel="1"/>
    <col min="4" max="4" width="10" customWidth="1" outlineLevel="1"/>
    <col min="5" max="5" width="14.6637168141593" customWidth="1" outlineLevel="1"/>
    <col min="6" max="6" width="11.8672566371681" customWidth="1" outlineLevel="1"/>
    <col min="7" max="7" width="13.6637168141593" customWidth="1"/>
    <col min="8" max="8" width="14.1327433628319" customWidth="1"/>
    <col min="9" max="9" width="15.2654867256637" customWidth="1"/>
    <col min="10" max="10" width="12.6637168141593" customWidth="1"/>
    <col min="11" max="11" width="19.3982300884956" customWidth="1"/>
  </cols>
  <sheetData>
    <row r="1" ht="27" spans="1:13">
      <c r="A1" s="1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2" t="s">
        <v>11</v>
      </c>
      <c r="M1" s="2" t="s">
        <v>12</v>
      </c>
    </row>
    <row r="2" ht="54" spans="1:13">
      <c r="A2" s="11" t="s">
        <v>13</v>
      </c>
      <c r="B2" s="12" t="str" cm="1">
        <f t="array" ref="B2">INDEX(参考映射表!B:B&amp;"",MATCH(IFERROR(LEFT($A2,FIND("银行",$A2)+1),LEFT($A2,FIND("信用合作联社",$A2)+5)),参考映射表!$A:$A,0))</f>
        <v>交易日期[ Transaction Date ]</v>
      </c>
      <c r="C2" s="12" t="str" cm="1">
        <f t="array" ref="C2">INDEX(参考映射表!C:C&amp;"",MATCH(IFERROR(LEFT($A2,FIND("银行",$A2)+1),LEFT($A2,FIND("信用合作联社",$A2)+5)),参考映射表!$A:$A,0))</f>
        <v>+</v>
      </c>
      <c r="D2" s="12" t="str" cm="1">
        <f t="array" ref="D2">INDEX(参考映射表!D:D&amp;"",MATCH(IFERROR(LEFT($A2,FIND("银行",$A2)+1),LEFT($A2,FIND("信用合作联社",$A2)+5)),参考映射表!$A:$A,0))</f>
        <v>-</v>
      </c>
      <c r="E2" s="12" t="str" cm="1">
        <f t="array" ref="E2">INDEX(参考映射表!E:E&amp;"",MATCH(IFERROR(LEFT($A2,FIND("银行",$A2)+1),LEFT($A2,FIND("信用合作联社",$A2)+5)),参考映射表!$A:$A,0))</f>
        <v>交易金额[ Trade Amount ]</v>
      </c>
      <c r="F2" s="12" t="str" cm="1">
        <f t="array" ref="F2">INDEX(参考映射表!F:F&amp;"",MATCH(IFERROR(LEFT($A2,FIND("银行",$A2)+1),LEFT($A2,FIND("信用合作联社",$A2)+5)),参考映射表!$A:$A,0))</f>
        <v>无</v>
      </c>
      <c r="G2" s="12" t="str" cm="1">
        <f t="array" ref="G2">INDEX(参考映射表!G:G&amp;"",MATCH(IFERROR(LEFT($A2,FIND("银行",$A2)+1),LEFT($A2,FIND("信用合作联社",$A2)+5)),参考映射表!$A:$A,0))</f>
        <v/>
      </c>
      <c r="H2" s="12" t="str" cm="1">
        <f t="array" ref="H2">INDEX(参考映射表!H:H&amp;"",MATCH(IFERROR(LEFT($A2,FIND("银行",$A2)+1),LEFT($A2,FIND("信用合作联社",$A2)+5)),参考映射表!$A:$A,0))</f>
        <v/>
      </c>
      <c r="I2" s="12" t="str" cm="1">
        <f t="array" ref="I2">INDEX(参考映射表!I:I&amp;"",MATCH(IFERROR(LEFT($A2,FIND("银行",$A2)+1),LEFT($A2,FIND("信用合作联社",$A2)+5)),参考映射表!$A:$A,0))</f>
        <v>交易后余额[ After-transaction balance ]</v>
      </c>
      <c r="J2" s="12" t="str" cm="1">
        <f t="array" ref="J2">INDEX(参考映射表!J:J&amp;"",MATCH(IFERROR(LEFT($A2,FIND("银行",$A2)+1),LEFT($A2,FIND("信用合作联社",$A2)+5)),参考映射表!$A:$A,0))</f>
        <v>无</v>
      </c>
      <c r="K2" s="12" t="str" cm="1">
        <f t="array" ref="K2">INDEX(参考映射表!K:K&amp;"",MATCH(IFERROR(LEFT($A2,FIND("银行",$A2)+1),LEFT($A2,FIND("信用合作联社",$A2)+5)),参考映射表!$A:$A,0))</f>
        <v>摘要[ Reference ]</v>
      </c>
      <c r="L2" s="12" t="str" cm="1">
        <f t="array" ref="L2">INDEX(参考映射表!L:L&amp;"",MATCH(IFERROR(LEFT($A2,FIND("银行",$A2)+1),LEFT($A2,FIND("信用合作联社",$A2)+5)),参考映射表!$A:$A,0))</f>
        <v>收款人名称[ Payee's Name ]</v>
      </c>
      <c r="M2" s="12" t="str" cm="1">
        <f t="array" ref="M2">INDEX(参考映射表!M:M&amp;"",MATCH(IFERROR(LEFT($A2,FIND("银行",$A2)+1),LEFT($A2,FIND("信用合作联社",$A2)+5)),参考映射表!$A:$A,0))</f>
        <v>付款人名称[ Payer's Name ]</v>
      </c>
    </row>
    <row r="3" spans="1:13">
      <c r="A3" s="4"/>
      <c r="B3" s="12" t="e" cm="1">
        <f t="array" ref="B3">INDEX(参考映射表!B:B&amp;"",MATCH(IFERROR(LEFT($A3,FIND("银行",$A3)+1),LEFT($A3,FIND("信用合作联社",$A3)+5)),参考映射表!$A:$A,0))</f>
        <v>#VALUE!</v>
      </c>
      <c r="C3" s="12" t="e" cm="1">
        <f t="array" ref="C3">INDEX(参考映射表!C:C&amp;"",MATCH(IFERROR(LEFT($A3,FIND("银行",$A3)+1),LEFT($A3,FIND("信用合作联社",$A3)+5)),参考映射表!$A:$A,0))</f>
        <v>#VALUE!</v>
      </c>
      <c r="D3" s="12" t="e" cm="1">
        <f t="array" ref="D3">INDEX(参考映射表!D:D&amp;"",MATCH(IFERROR(LEFT($A3,FIND("银行",$A3)+1),LEFT($A3,FIND("信用合作联社",$A3)+5)),参考映射表!$A:$A,0))</f>
        <v>#VALUE!</v>
      </c>
      <c r="E3" s="12" t="e" cm="1">
        <f t="array" ref="E3">INDEX(参考映射表!E:E&amp;"",MATCH(IFERROR(LEFT($A3,FIND("银行",$A3)+1),LEFT($A3,FIND("信用合作联社",$A3)+5)),参考映射表!$A:$A,0))</f>
        <v>#VALUE!</v>
      </c>
      <c r="F3" s="12" t="e" cm="1">
        <f t="array" ref="F3">INDEX(参考映射表!F:F&amp;"",MATCH(IFERROR(LEFT($A3,FIND("银行",$A3)+1),LEFT($A3,FIND("信用合作联社",$A3)+5)),参考映射表!$A:$A,0))</f>
        <v>#VALUE!</v>
      </c>
      <c r="G3" s="12" t="e" cm="1">
        <f t="array" ref="G3">INDEX(参考映射表!G:G&amp;"",MATCH(IFERROR(LEFT($A3,FIND("银行",$A3)+1),LEFT($A3,FIND("信用合作联社",$A3)+5)),参考映射表!$A:$A,0))</f>
        <v>#VALUE!</v>
      </c>
      <c r="H3" s="12" t="e" cm="1">
        <f t="array" ref="H3">INDEX(参考映射表!H:H&amp;"",MATCH(IFERROR(LEFT($A3,FIND("银行",$A3)+1),LEFT($A3,FIND("信用合作联社",$A3)+5)),参考映射表!$A:$A,0))</f>
        <v>#VALUE!</v>
      </c>
      <c r="I3" s="12" t="e" cm="1">
        <f t="array" ref="I3">INDEX(参考映射表!I:I&amp;"",MATCH(IFERROR(LEFT($A3,FIND("银行",$A3)+1),LEFT($A3,FIND("信用合作联社",$A3)+5)),参考映射表!$A:$A,0))</f>
        <v>#VALUE!</v>
      </c>
      <c r="J3" s="12" t="e" cm="1">
        <f t="array" ref="J3">INDEX(参考映射表!J:J&amp;"",MATCH(IFERROR(LEFT($A3,FIND("银行",$A3)+1),LEFT($A3,FIND("信用合作联社",$A3)+5)),参考映射表!$A:$A,0))</f>
        <v>#VALUE!</v>
      </c>
      <c r="K3" s="12" t="e" cm="1">
        <f t="array" ref="K3">INDEX(参考映射表!K:K&amp;"",MATCH(IFERROR(LEFT($A3,FIND("银行",$A3)+1),LEFT($A3,FIND("信用合作联社",$A3)+5)),参考映射表!$A:$A,0))</f>
        <v>#VALUE!</v>
      </c>
      <c r="L3" s="12" t="e" cm="1">
        <f t="array" ref="L3">INDEX(参考映射表!L:L&amp;"",MATCH(IFERROR(LEFT($A3,FIND("银行",$A3)+1),LEFT($A3,FIND("信用合作联社",$A3)+5)),参考映射表!$A:$A,0))</f>
        <v>#VALUE!</v>
      </c>
      <c r="M3" s="12" t="e" cm="1">
        <f t="array" ref="M3">INDEX(参考映射表!M:M&amp;"",MATCH(IFERROR(LEFT($A3,FIND("银行",$A3)+1),LEFT($A3,FIND("信用合作联社",$A3)+5)),参考映射表!$A:$A,0))</f>
        <v>#VALUE!</v>
      </c>
    </row>
    <row r="4" spans="1:13">
      <c r="A4" s="4"/>
      <c r="B4" s="12" t="e" cm="1">
        <f t="array" ref="B4">INDEX(参考映射表!B:B&amp;"",MATCH(IFERROR(LEFT($A4,FIND("银行",$A4)+1),LEFT($A4,FIND("信用合作联社",$A4)+5)),参考映射表!$A:$A,0))</f>
        <v>#VALUE!</v>
      </c>
      <c r="C4" s="12" t="e" cm="1">
        <f t="array" ref="C4">INDEX(参考映射表!C:C&amp;"",MATCH(IFERROR(LEFT($A4,FIND("银行",$A4)+1),LEFT($A4,FIND("信用合作联社",$A4)+5)),参考映射表!$A:$A,0))</f>
        <v>#VALUE!</v>
      </c>
      <c r="D4" s="12" t="e" cm="1">
        <f t="array" ref="D4">INDEX(参考映射表!D:D&amp;"",MATCH(IFERROR(LEFT($A4,FIND("银行",$A4)+1),LEFT($A4,FIND("信用合作联社",$A4)+5)),参考映射表!$A:$A,0))</f>
        <v>#VALUE!</v>
      </c>
      <c r="E4" s="12" t="e" cm="1">
        <f t="array" ref="E4">INDEX(参考映射表!E:E&amp;"",MATCH(IFERROR(LEFT($A4,FIND("银行",$A4)+1),LEFT($A4,FIND("信用合作联社",$A4)+5)),参考映射表!$A:$A,0))</f>
        <v>#VALUE!</v>
      </c>
      <c r="F4" s="12" t="e" cm="1">
        <f t="array" ref="F4">INDEX(参考映射表!F:F&amp;"",MATCH(IFERROR(LEFT($A4,FIND("银行",$A4)+1),LEFT($A4,FIND("信用合作联社",$A4)+5)),参考映射表!$A:$A,0))</f>
        <v>#VALUE!</v>
      </c>
      <c r="G4" s="12" t="e" cm="1">
        <f t="array" ref="G4">INDEX(参考映射表!G:G&amp;"",MATCH(IFERROR(LEFT($A4,FIND("银行",$A4)+1),LEFT($A4,FIND("信用合作联社",$A4)+5)),参考映射表!$A:$A,0))</f>
        <v>#VALUE!</v>
      </c>
      <c r="H4" s="12" t="e" cm="1">
        <f t="array" ref="H4">INDEX(参考映射表!H:H&amp;"",MATCH(IFERROR(LEFT($A4,FIND("银行",$A4)+1),LEFT($A4,FIND("信用合作联社",$A4)+5)),参考映射表!$A:$A,0))</f>
        <v>#VALUE!</v>
      </c>
      <c r="I4" s="12" t="e" cm="1">
        <f t="array" ref="I4">INDEX(参考映射表!I:I&amp;"",MATCH(IFERROR(LEFT($A4,FIND("银行",$A4)+1),LEFT($A4,FIND("信用合作联社",$A4)+5)),参考映射表!$A:$A,0))</f>
        <v>#VALUE!</v>
      </c>
      <c r="J4" s="12" t="e" cm="1">
        <f t="array" ref="J4">INDEX(参考映射表!J:J&amp;"",MATCH(IFERROR(LEFT($A4,FIND("银行",$A4)+1),LEFT($A4,FIND("信用合作联社",$A4)+5)),参考映射表!$A:$A,0))</f>
        <v>#VALUE!</v>
      </c>
      <c r="K4" s="12" t="e" cm="1">
        <f t="array" ref="K4">INDEX(参考映射表!K:K&amp;"",MATCH(IFERROR(LEFT($A4,FIND("银行",$A4)+1),LEFT($A4,FIND("信用合作联社",$A4)+5)),参考映射表!$A:$A,0))</f>
        <v>#VALUE!</v>
      </c>
      <c r="L4" s="12" t="e" cm="1">
        <f t="array" ref="L4">INDEX(参考映射表!L:L&amp;"",MATCH(IFERROR(LEFT($A4,FIND("银行",$A4)+1),LEFT($A4,FIND("信用合作联社",$A4)+5)),参考映射表!$A:$A,0))</f>
        <v>#VALUE!</v>
      </c>
      <c r="M4" s="12" t="e" cm="1">
        <f t="array" ref="M4">INDEX(参考映射表!M:M&amp;"",MATCH(IFERROR(LEFT($A4,FIND("银行",$A4)+1),LEFT($A4,FIND("信用合作联社",$A4)+5)),参考映射表!$A:$A,0))</f>
        <v>#VALUE!</v>
      </c>
    </row>
    <row r="5" spans="1:13">
      <c r="A5" s="4"/>
      <c r="B5" s="12" t="e" cm="1">
        <f t="array" ref="B5">INDEX(参考映射表!B:B&amp;"",MATCH(IFERROR(LEFT($A5,FIND("银行",$A5)+1),LEFT($A5,FIND("信用合作联社",$A5)+5)),参考映射表!$A:$A,0))</f>
        <v>#VALUE!</v>
      </c>
      <c r="C5" s="12" t="e" cm="1">
        <f t="array" ref="C5">INDEX(参考映射表!C:C&amp;"",MATCH(IFERROR(LEFT($A5,FIND("银行",$A5)+1),LEFT($A5,FIND("信用合作联社",$A5)+5)),参考映射表!$A:$A,0))</f>
        <v>#VALUE!</v>
      </c>
      <c r="D5" s="12" t="e" cm="1">
        <f t="array" ref="D5">INDEX(参考映射表!D:D&amp;"",MATCH(IFERROR(LEFT($A5,FIND("银行",$A5)+1),LEFT($A5,FIND("信用合作联社",$A5)+5)),参考映射表!$A:$A,0))</f>
        <v>#VALUE!</v>
      </c>
      <c r="E5" s="12" t="e" cm="1">
        <f t="array" ref="E5">INDEX(参考映射表!E:E&amp;"",MATCH(IFERROR(LEFT($A5,FIND("银行",$A5)+1),LEFT($A5,FIND("信用合作联社",$A5)+5)),参考映射表!$A:$A,0))</f>
        <v>#VALUE!</v>
      </c>
      <c r="F5" s="12" t="e" cm="1">
        <f t="array" ref="F5">INDEX(参考映射表!F:F&amp;"",MATCH(IFERROR(LEFT($A5,FIND("银行",$A5)+1),LEFT($A5,FIND("信用合作联社",$A5)+5)),参考映射表!$A:$A,0))</f>
        <v>#VALUE!</v>
      </c>
      <c r="G5" s="12" t="e" cm="1">
        <f t="array" ref="G5">INDEX(参考映射表!G:G&amp;"",MATCH(IFERROR(LEFT($A5,FIND("银行",$A5)+1),LEFT($A5,FIND("信用合作联社",$A5)+5)),参考映射表!$A:$A,0))</f>
        <v>#VALUE!</v>
      </c>
      <c r="H5" s="12" t="e" cm="1">
        <f t="array" ref="H5">INDEX(参考映射表!H:H&amp;"",MATCH(IFERROR(LEFT($A5,FIND("银行",$A5)+1),LEFT($A5,FIND("信用合作联社",$A5)+5)),参考映射表!$A:$A,0))</f>
        <v>#VALUE!</v>
      </c>
      <c r="I5" s="12" t="e" cm="1">
        <f t="array" ref="I5">INDEX(参考映射表!I:I&amp;"",MATCH(IFERROR(LEFT($A5,FIND("银行",$A5)+1),LEFT($A5,FIND("信用合作联社",$A5)+5)),参考映射表!$A:$A,0))</f>
        <v>#VALUE!</v>
      </c>
      <c r="J5" s="12" t="e" cm="1">
        <f t="array" ref="J5">INDEX(参考映射表!J:J&amp;"",MATCH(IFERROR(LEFT($A5,FIND("银行",$A5)+1),LEFT($A5,FIND("信用合作联社",$A5)+5)),参考映射表!$A:$A,0))</f>
        <v>#VALUE!</v>
      </c>
      <c r="K5" s="12" t="e" cm="1">
        <f t="array" ref="K5">INDEX(参考映射表!K:K&amp;"",MATCH(IFERROR(LEFT($A5,FIND("银行",$A5)+1),LEFT($A5,FIND("信用合作联社",$A5)+5)),参考映射表!$A:$A,0))</f>
        <v>#VALUE!</v>
      </c>
      <c r="L5" s="12" t="e" cm="1">
        <f t="array" ref="L5">INDEX(参考映射表!L:L&amp;"",MATCH(IFERROR(LEFT($A5,FIND("银行",$A5)+1),LEFT($A5,FIND("信用合作联社",$A5)+5)),参考映射表!$A:$A,0))</f>
        <v>#VALUE!</v>
      </c>
      <c r="M5" s="12" t="e" cm="1">
        <f t="array" ref="M5">INDEX(参考映射表!M:M&amp;"",MATCH(IFERROR(LEFT($A5,FIND("银行",$A5)+1),LEFT($A5,FIND("信用合作联社",$A5)+5)),参考映射表!$A:$A,0))</f>
        <v>#VALUE!</v>
      </c>
    </row>
    <row r="6" spans="1:13">
      <c r="A6" s="4"/>
      <c r="B6" s="12" t="e" cm="1">
        <f t="array" ref="B6">INDEX(参考映射表!B:B&amp;"",MATCH(IFERROR(LEFT($A6,FIND("银行",$A6)+1),LEFT($A6,FIND("信用合作联社",$A6)+5)),参考映射表!$A:$A,0))</f>
        <v>#VALUE!</v>
      </c>
      <c r="C6" s="12" t="e" cm="1">
        <f t="array" ref="C6">INDEX(参考映射表!C:C&amp;"",MATCH(IFERROR(LEFT($A6,FIND("银行",$A6)+1),LEFT($A6,FIND("信用合作联社",$A6)+5)),参考映射表!$A:$A,0))</f>
        <v>#VALUE!</v>
      </c>
      <c r="D6" s="12" t="e" cm="1">
        <f t="array" ref="D6">INDEX(参考映射表!D:D&amp;"",MATCH(IFERROR(LEFT($A6,FIND("银行",$A6)+1),LEFT($A6,FIND("信用合作联社",$A6)+5)),参考映射表!$A:$A,0))</f>
        <v>#VALUE!</v>
      </c>
      <c r="E6" s="12" t="e" cm="1">
        <f t="array" ref="E6">INDEX(参考映射表!E:E&amp;"",MATCH(IFERROR(LEFT($A6,FIND("银行",$A6)+1),LEFT($A6,FIND("信用合作联社",$A6)+5)),参考映射表!$A:$A,0))</f>
        <v>#VALUE!</v>
      </c>
      <c r="F6" s="12" t="e" cm="1">
        <f t="array" ref="F6">INDEX(参考映射表!F:F&amp;"",MATCH(IFERROR(LEFT($A6,FIND("银行",$A6)+1),LEFT($A6,FIND("信用合作联社",$A6)+5)),参考映射表!$A:$A,0))</f>
        <v>#VALUE!</v>
      </c>
      <c r="G6" s="12" t="e" cm="1">
        <f t="array" ref="G6">INDEX(参考映射表!G:G&amp;"",MATCH(IFERROR(LEFT($A6,FIND("银行",$A6)+1),LEFT($A6,FIND("信用合作联社",$A6)+5)),参考映射表!$A:$A,0))</f>
        <v>#VALUE!</v>
      </c>
      <c r="H6" s="12" t="e" cm="1">
        <f t="array" ref="H6">INDEX(参考映射表!H:H&amp;"",MATCH(IFERROR(LEFT($A6,FIND("银行",$A6)+1),LEFT($A6,FIND("信用合作联社",$A6)+5)),参考映射表!$A:$A,0))</f>
        <v>#VALUE!</v>
      </c>
      <c r="I6" s="12" t="e" cm="1">
        <f t="array" ref="I6">INDEX(参考映射表!I:I&amp;"",MATCH(IFERROR(LEFT($A6,FIND("银行",$A6)+1),LEFT($A6,FIND("信用合作联社",$A6)+5)),参考映射表!$A:$A,0))</f>
        <v>#VALUE!</v>
      </c>
      <c r="J6" s="12" t="e" cm="1">
        <f t="array" ref="J6">INDEX(参考映射表!J:J&amp;"",MATCH(IFERROR(LEFT($A6,FIND("银行",$A6)+1),LEFT($A6,FIND("信用合作联社",$A6)+5)),参考映射表!$A:$A,0))</f>
        <v>#VALUE!</v>
      </c>
      <c r="K6" s="12" t="e" cm="1">
        <f t="array" ref="K6">INDEX(参考映射表!K:K&amp;"",MATCH(IFERROR(LEFT($A6,FIND("银行",$A6)+1),LEFT($A6,FIND("信用合作联社",$A6)+5)),参考映射表!$A:$A,0))</f>
        <v>#VALUE!</v>
      </c>
      <c r="L6" s="12" t="e" cm="1">
        <f t="array" ref="L6">INDEX(参考映射表!L:L&amp;"",MATCH(IFERROR(LEFT($A6,FIND("银行",$A6)+1),LEFT($A6,FIND("信用合作联社",$A6)+5)),参考映射表!$A:$A,0))</f>
        <v>#VALUE!</v>
      </c>
      <c r="M6" s="12" t="e" cm="1">
        <f t="array" ref="M6">INDEX(参考映射表!M:M&amp;"",MATCH(IFERROR(LEFT($A6,FIND("银行",$A6)+1),LEFT($A6,FIND("信用合作联社",$A6)+5)),参考映射表!$A:$A,0))</f>
        <v>#VALUE!</v>
      </c>
    </row>
    <row r="7" spans="1:13">
      <c r="A7" s="4"/>
      <c r="B7" s="12" t="e" cm="1">
        <f t="array" ref="B7">INDEX(参考映射表!B:B&amp;"",MATCH(IFERROR(LEFT($A7,FIND("银行",$A7)+1),LEFT($A7,FIND("信用合作联社",$A7)+5)),参考映射表!$A:$A,0))</f>
        <v>#VALUE!</v>
      </c>
      <c r="C7" s="12" t="e" cm="1">
        <f t="array" ref="C7">INDEX(参考映射表!C:C&amp;"",MATCH(IFERROR(LEFT($A7,FIND("银行",$A7)+1),LEFT($A7,FIND("信用合作联社",$A7)+5)),参考映射表!$A:$A,0))</f>
        <v>#VALUE!</v>
      </c>
      <c r="D7" s="12" t="e" cm="1">
        <f t="array" ref="D7">INDEX(参考映射表!D:D&amp;"",MATCH(IFERROR(LEFT($A7,FIND("银行",$A7)+1),LEFT($A7,FIND("信用合作联社",$A7)+5)),参考映射表!$A:$A,0))</f>
        <v>#VALUE!</v>
      </c>
      <c r="E7" s="12" t="e" cm="1">
        <f t="array" ref="E7">INDEX(参考映射表!E:E&amp;"",MATCH(IFERROR(LEFT($A7,FIND("银行",$A7)+1),LEFT($A7,FIND("信用合作联社",$A7)+5)),参考映射表!$A:$A,0))</f>
        <v>#VALUE!</v>
      </c>
      <c r="F7" s="12" t="e" cm="1">
        <f t="array" ref="F7">INDEX(参考映射表!F:F&amp;"",MATCH(IFERROR(LEFT($A7,FIND("银行",$A7)+1),LEFT($A7,FIND("信用合作联社",$A7)+5)),参考映射表!$A:$A,0))</f>
        <v>#VALUE!</v>
      </c>
      <c r="G7" s="12" t="e" cm="1">
        <f t="array" ref="G7">INDEX(参考映射表!G:G&amp;"",MATCH(IFERROR(LEFT($A7,FIND("银行",$A7)+1),LEFT($A7,FIND("信用合作联社",$A7)+5)),参考映射表!$A:$A,0))</f>
        <v>#VALUE!</v>
      </c>
      <c r="H7" s="12" t="e" cm="1">
        <f t="array" ref="H7">INDEX(参考映射表!H:H&amp;"",MATCH(IFERROR(LEFT($A7,FIND("银行",$A7)+1),LEFT($A7,FIND("信用合作联社",$A7)+5)),参考映射表!$A:$A,0))</f>
        <v>#VALUE!</v>
      </c>
      <c r="I7" s="12" t="e" cm="1">
        <f t="array" ref="I7">INDEX(参考映射表!I:I&amp;"",MATCH(IFERROR(LEFT($A7,FIND("银行",$A7)+1),LEFT($A7,FIND("信用合作联社",$A7)+5)),参考映射表!$A:$A,0))</f>
        <v>#VALUE!</v>
      </c>
      <c r="J7" s="12" t="e" cm="1">
        <f t="array" ref="J7">INDEX(参考映射表!J:J&amp;"",MATCH(IFERROR(LEFT($A7,FIND("银行",$A7)+1),LEFT($A7,FIND("信用合作联社",$A7)+5)),参考映射表!$A:$A,0))</f>
        <v>#VALUE!</v>
      </c>
      <c r="K7" s="12" t="e" cm="1">
        <f t="array" ref="K7">INDEX(参考映射表!K:K&amp;"",MATCH(IFERROR(LEFT($A7,FIND("银行",$A7)+1),LEFT($A7,FIND("信用合作联社",$A7)+5)),参考映射表!$A:$A,0))</f>
        <v>#VALUE!</v>
      </c>
      <c r="L7" s="12" t="e" cm="1">
        <f t="array" ref="L7">INDEX(参考映射表!L:L&amp;"",MATCH(IFERROR(LEFT($A7,FIND("银行",$A7)+1),LEFT($A7,FIND("信用合作联社",$A7)+5)),参考映射表!$A:$A,0))</f>
        <v>#VALUE!</v>
      </c>
      <c r="M7" s="12" t="e" cm="1">
        <f t="array" ref="M7">INDEX(参考映射表!M:M&amp;"",MATCH(IFERROR(LEFT($A7,FIND("银行",$A7)+1),LEFT($A7,FIND("信用合作联社",$A7)+5)),参考映射表!$A:$A,0))</f>
        <v>#VALUE!</v>
      </c>
    </row>
    <row r="8" spans="1:13">
      <c r="A8" s="13"/>
      <c r="B8" s="12" t="e" cm="1">
        <f t="array" ref="B8">INDEX(参考映射表!B:B&amp;"",MATCH(IFERROR(LEFT($A8,FIND("银行",$A8)+1),LEFT($A8,FIND("信用合作联社",$A8)+5)),参考映射表!$A:$A,0))</f>
        <v>#VALUE!</v>
      </c>
      <c r="C8" s="12" t="e" cm="1">
        <f t="array" ref="C8">INDEX(参考映射表!C:C&amp;"",MATCH(IFERROR(LEFT($A8,FIND("银行",$A8)+1),LEFT($A8,FIND("信用合作联社",$A8)+5)),参考映射表!$A:$A,0))</f>
        <v>#VALUE!</v>
      </c>
      <c r="D8" s="12" t="e" cm="1">
        <f t="array" ref="D8">INDEX(参考映射表!D:D&amp;"",MATCH(IFERROR(LEFT($A8,FIND("银行",$A8)+1),LEFT($A8,FIND("信用合作联社",$A8)+5)),参考映射表!$A:$A,0))</f>
        <v>#VALUE!</v>
      </c>
      <c r="E8" s="12" t="e" cm="1">
        <f t="array" ref="E8">INDEX(参考映射表!E:E&amp;"",MATCH(IFERROR(LEFT($A8,FIND("银行",$A8)+1),LEFT($A8,FIND("信用合作联社",$A8)+5)),参考映射表!$A:$A,0))</f>
        <v>#VALUE!</v>
      </c>
      <c r="F8" s="12" t="e" cm="1">
        <f t="array" ref="F8">INDEX(参考映射表!F:F&amp;"",MATCH(IFERROR(LEFT($A8,FIND("银行",$A8)+1),LEFT($A8,FIND("信用合作联社",$A8)+5)),参考映射表!$A:$A,0))</f>
        <v>#VALUE!</v>
      </c>
      <c r="G8" s="12" t="e" cm="1">
        <f t="array" ref="G8">INDEX(参考映射表!G:G&amp;"",MATCH(IFERROR(LEFT($A8,FIND("银行",$A8)+1),LEFT($A8,FIND("信用合作联社",$A8)+5)),参考映射表!$A:$A,0))</f>
        <v>#VALUE!</v>
      </c>
      <c r="H8" s="12" t="e" cm="1">
        <f t="array" ref="H8">INDEX(参考映射表!H:H&amp;"",MATCH(IFERROR(LEFT($A8,FIND("银行",$A8)+1),LEFT($A8,FIND("信用合作联社",$A8)+5)),参考映射表!$A:$A,0))</f>
        <v>#VALUE!</v>
      </c>
      <c r="I8" s="12" t="e" cm="1">
        <f t="array" ref="I8">INDEX(参考映射表!I:I&amp;"",MATCH(IFERROR(LEFT($A8,FIND("银行",$A8)+1),LEFT($A8,FIND("信用合作联社",$A8)+5)),参考映射表!$A:$A,0))</f>
        <v>#VALUE!</v>
      </c>
      <c r="J8" s="12" t="e" cm="1">
        <f t="array" ref="J8">INDEX(参考映射表!J:J&amp;"",MATCH(IFERROR(LEFT($A8,FIND("银行",$A8)+1),LEFT($A8,FIND("信用合作联社",$A8)+5)),参考映射表!$A:$A,0))</f>
        <v>#VALUE!</v>
      </c>
      <c r="K8" s="12" t="e" cm="1">
        <f t="array" ref="K8">INDEX(参考映射表!K:K&amp;"",MATCH(IFERROR(LEFT($A8,FIND("银行",$A8)+1),LEFT($A8,FIND("信用合作联社",$A8)+5)),参考映射表!$A:$A,0))</f>
        <v>#VALUE!</v>
      </c>
      <c r="L8" s="12" t="e" cm="1">
        <f t="array" ref="L8">INDEX(参考映射表!L:L&amp;"",MATCH(IFERROR(LEFT($A8,FIND("银行",$A8)+1),LEFT($A8,FIND("信用合作联社",$A8)+5)),参考映射表!$A:$A,0))</f>
        <v>#VALUE!</v>
      </c>
      <c r="M8" s="12" t="e" cm="1">
        <f t="array" ref="M8">INDEX(参考映射表!M:M&amp;"",MATCH(IFERROR(LEFT($A8,FIND("银行",$A8)+1),LEFT($A8,FIND("信用合作联社",$A8)+5)),参考映射表!$A:$A,0))</f>
        <v>#VALUE!</v>
      </c>
    </row>
    <row r="9" spans="1:13">
      <c r="A9" s="4"/>
      <c r="B9" s="12" t="e" cm="1">
        <f t="array" ref="B9">INDEX(参考映射表!B:B&amp;"",MATCH(IFERROR(LEFT($A9,FIND("银行",$A9)+1),LEFT($A9,FIND("信用合作联社",$A9)+5)),参考映射表!$A:$A,0))</f>
        <v>#VALUE!</v>
      </c>
      <c r="C9" s="12" t="e" cm="1">
        <f t="array" ref="C9">INDEX(参考映射表!C:C&amp;"",MATCH(IFERROR(LEFT($A9,FIND("银行",$A9)+1),LEFT($A9,FIND("信用合作联社",$A9)+5)),参考映射表!$A:$A,0))</f>
        <v>#VALUE!</v>
      </c>
      <c r="D9" s="12" t="e" cm="1">
        <f t="array" ref="D9">INDEX(参考映射表!D:D&amp;"",MATCH(IFERROR(LEFT($A9,FIND("银行",$A9)+1),LEFT($A9,FIND("信用合作联社",$A9)+5)),参考映射表!$A:$A,0))</f>
        <v>#VALUE!</v>
      </c>
      <c r="E9" s="12" t="e" cm="1">
        <f t="array" ref="E9">INDEX(参考映射表!E:E&amp;"",MATCH(IFERROR(LEFT($A9,FIND("银行",$A9)+1),LEFT($A9,FIND("信用合作联社",$A9)+5)),参考映射表!$A:$A,0))</f>
        <v>#VALUE!</v>
      </c>
      <c r="F9" s="12" t="e" cm="1">
        <f t="array" ref="F9">INDEX(参考映射表!F:F&amp;"",MATCH(IFERROR(LEFT($A9,FIND("银行",$A9)+1),LEFT($A9,FIND("信用合作联社",$A9)+5)),参考映射表!$A:$A,0))</f>
        <v>#VALUE!</v>
      </c>
      <c r="G9" s="12" t="e" cm="1">
        <f t="array" ref="G9">INDEX(参考映射表!G:G&amp;"",MATCH(IFERROR(LEFT($A9,FIND("银行",$A9)+1),LEFT($A9,FIND("信用合作联社",$A9)+5)),参考映射表!$A:$A,0))</f>
        <v>#VALUE!</v>
      </c>
      <c r="H9" s="12" t="e" cm="1">
        <f t="array" ref="H9">INDEX(参考映射表!H:H&amp;"",MATCH(IFERROR(LEFT($A9,FIND("银行",$A9)+1),LEFT($A9,FIND("信用合作联社",$A9)+5)),参考映射表!$A:$A,0))</f>
        <v>#VALUE!</v>
      </c>
      <c r="I9" s="12" t="e" cm="1">
        <f t="array" ref="I9">INDEX(参考映射表!I:I&amp;"",MATCH(IFERROR(LEFT($A9,FIND("银行",$A9)+1),LEFT($A9,FIND("信用合作联社",$A9)+5)),参考映射表!$A:$A,0))</f>
        <v>#VALUE!</v>
      </c>
      <c r="J9" s="12" t="e" cm="1">
        <f t="array" ref="J9">INDEX(参考映射表!J:J&amp;"",MATCH(IFERROR(LEFT($A9,FIND("银行",$A9)+1),LEFT($A9,FIND("信用合作联社",$A9)+5)),参考映射表!$A:$A,0))</f>
        <v>#VALUE!</v>
      </c>
      <c r="K9" s="12" t="e" cm="1">
        <f t="array" ref="K9">INDEX(参考映射表!K:K&amp;"",MATCH(IFERROR(LEFT($A9,FIND("银行",$A9)+1),LEFT($A9,FIND("信用合作联社",$A9)+5)),参考映射表!$A:$A,0))</f>
        <v>#VALUE!</v>
      </c>
      <c r="L9" s="12" t="e" cm="1">
        <f t="array" ref="L9">INDEX(参考映射表!L:L&amp;"",MATCH(IFERROR(LEFT($A9,FIND("银行",$A9)+1),LEFT($A9,FIND("信用合作联社",$A9)+5)),参考映射表!$A:$A,0))</f>
        <v>#VALUE!</v>
      </c>
      <c r="M9" s="12" t="e" cm="1">
        <f t="array" ref="M9">INDEX(参考映射表!M:M&amp;"",MATCH(IFERROR(LEFT($A9,FIND("银行",$A9)+1),LEFT($A9,FIND("信用合作联社",$A9)+5)),参考映射表!$A:$A,0))</f>
        <v>#VALUE!</v>
      </c>
    </row>
    <row r="10" spans="1:13">
      <c r="A10" s="4"/>
      <c r="B10" s="12" t="e" cm="1">
        <f t="array" ref="B10">INDEX(参考映射表!B:B&amp;"",MATCH(IFERROR(LEFT($A10,FIND("银行",$A10)+1),LEFT($A10,FIND("信用合作联社",$A10)+5)),参考映射表!$A:$A,0))</f>
        <v>#VALUE!</v>
      </c>
      <c r="C10" s="12" t="e" cm="1">
        <f t="array" ref="C10">INDEX(参考映射表!C:C&amp;"",MATCH(IFERROR(LEFT($A10,FIND("银行",$A10)+1),LEFT($A10,FIND("信用合作联社",$A10)+5)),参考映射表!$A:$A,0))</f>
        <v>#VALUE!</v>
      </c>
      <c r="D10" s="12" t="e" cm="1">
        <f t="array" ref="D10">INDEX(参考映射表!D:D&amp;"",MATCH(IFERROR(LEFT($A10,FIND("银行",$A10)+1),LEFT($A10,FIND("信用合作联社",$A10)+5)),参考映射表!$A:$A,0))</f>
        <v>#VALUE!</v>
      </c>
      <c r="E10" s="12" t="e" cm="1">
        <f t="array" ref="E10">INDEX(参考映射表!E:E&amp;"",MATCH(IFERROR(LEFT($A10,FIND("银行",$A10)+1),LEFT($A10,FIND("信用合作联社",$A10)+5)),参考映射表!$A:$A,0))</f>
        <v>#VALUE!</v>
      </c>
      <c r="F10" s="12" t="e" cm="1">
        <f t="array" ref="F10">INDEX(参考映射表!F:F&amp;"",MATCH(IFERROR(LEFT($A10,FIND("银行",$A10)+1),LEFT($A10,FIND("信用合作联社",$A10)+5)),参考映射表!$A:$A,0))</f>
        <v>#VALUE!</v>
      </c>
      <c r="G10" s="12" t="e" cm="1">
        <f t="array" ref="G10">INDEX(参考映射表!G:G&amp;"",MATCH(IFERROR(LEFT($A10,FIND("银行",$A10)+1),LEFT($A10,FIND("信用合作联社",$A10)+5)),参考映射表!$A:$A,0))</f>
        <v>#VALUE!</v>
      </c>
      <c r="H10" s="12" t="e" cm="1">
        <f t="array" ref="H10">INDEX(参考映射表!H:H&amp;"",MATCH(IFERROR(LEFT($A10,FIND("银行",$A10)+1),LEFT($A10,FIND("信用合作联社",$A10)+5)),参考映射表!$A:$A,0))</f>
        <v>#VALUE!</v>
      </c>
      <c r="I10" s="12" t="e" cm="1">
        <f t="array" ref="I10">INDEX(参考映射表!I:I&amp;"",MATCH(IFERROR(LEFT($A10,FIND("银行",$A10)+1),LEFT($A10,FIND("信用合作联社",$A10)+5)),参考映射表!$A:$A,0))</f>
        <v>#VALUE!</v>
      </c>
      <c r="J10" s="12" t="e" cm="1">
        <f t="array" ref="J10">INDEX(参考映射表!J:J&amp;"",MATCH(IFERROR(LEFT($A10,FIND("银行",$A10)+1),LEFT($A10,FIND("信用合作联社",$A10)+5)),参考映射表!$A:$A,0))</f>
        <v>#VALUE!</v>
      </c>
      <c r="K10" s="12" t="e" cm="1">
        <f t="array" ref="K10">INDEX(参考映射表!K:K&amp;"",MATCH(IFERROR(LEFT($A10,FIND("银行",$A10)+1),LEFT($A10,FIND("信用合作联社",$A10)+5)),参考映射表!$A:$A,0))</f>
        <v>#VALUE!</v>
      </c>
      <c r="L10" s="12" t="e" cm="1">
        <f t="array" ref="L10">INDEX(参考映射表!L:L&amp;"",MATCH(IFERROR(LEFT($A10,FIND("银行",$A10)+1),LEFT($A10,FIND("信用合作联社",$A10)+5)),参考映射表!$A:$A,0))</f>
        <v>#VALUE!</v>
      </c>
      <c r="M10" s="12" t="e" cm="1">
        <f t="array" ref="M10">INDEX(参考映射表!M:M&amp;"",MATCH(IFERROR(LEFT($A10,FIND("银行",$A10)+1),LEFT($A10,FIND("信用合作联社",$A10)+5)),参考映射表!$A:$A,0))</f>
        <v>#VALUE!</v>
      </c>
    </row>
    <row r="11" ht="27" spans="1:13">
      <c r="A11" s="4"/>
      <c r="B11" s="12" t="e" cm="1">
        <f t="array" ref="B11">INDEX(参考映射表!B:B&amp;"",MATCH(IFERROR(LEFT($A11,FIND("银行",$A11)+1),LEFT($A11,FIND("信用合作联社",$A11)+5)),参考映射表!$A:$A,0))</f>
        <v>#VALUE!</v>
      </c>
      <c r="C11" s="12" t="e" cm="1">
        <f t="array" ref="C11">INDEX(参考映射表!C:C&amp;"",MATCH(IFERROR(LEFT($A11,FIND("银行",$A11)+1),LEFT($A11,FIND("信用合作联社",$A11)+5)),参考映射表!$A:$A,0))</f>
        <v>#VALUE!</v>
      </c>
      <c r="D11" s="12" t="e" cm="1">
        <f t="array" ref="D11">INDEX(参考映射表!D:D&amp;"",MATCH(IFERROR(LEFT($A11,FIND("银行",$A11)+1),LEFT($A11,FIND("信用合作联社",$A11)+5)),参考映射表!$A:$A,0))</f>
        <v>#VALUE!</v>
      </c>
      <c r="E11" s="12" t="e" cm="1">
        <f t="array" ref="E11">INDEX(参考映射表!E:E&amp;"",MATCH(IFERROR(LEFT($A11,FIND("银行",$A11)+1),LEFT($A11,FIND("信用合作联社",$A11)+5)),参考映射表!$A:$A,0))</f>
        <v>#VALUE!</v>
      </c>
      <c r="F11" s="12" t="e" cm="1">
        <f t="array" ref="F11">INDEX(参考映射表!F:F&amp;"",MATCH(IFERROR(LEFT($A11,FIND("银行",$A11)+1),LEFT($A11,FIND("信用合作联社",$A11)+5)),参考映射表!$A:$A,0))</f>
        <v>#VALUE!</v>
      </c>
      <c r="G11" s="12" t="e" cm="1">
        <f t="array" ref="G11">INDEX(参考映射表!G:G&amp;"",MATCH(IFERROR(LEFT($A11,FIND("银行",$A11)+1),LEFT($A11,FIND("信用合作联社",$A11)+5)),参考映射表!$A:$A,0))</f>
        <v>#VALUE!</v>
      </c>
      <c r="H11" s="12" t="e" cm="1">
        <f t="array" ref="H11">INDEX(参考映射表!H:H&amp;"",MATCH(IFERROR(LEFT($A11,FIND("银行",$A11)+1),LEFT($A11,FIND("信用合作联社",$A11)+5)),参考映射表!$A:$A,0))</f>
        <v>#VALUE!</v>
      </c>
      <c r="I11" s="12" t="e" cm="1">
        <f t="array" ref="I11">INDEX(参考映射表!I:I&amp;"",MATCH(IFERROR(LEFT($A11,FIND("银行",$A11)+1),LEFT($A11,FIND("信用合作联社",$A11)+5)),参考映射表!$A:$A,0))</f>
        <v>#VALUE!</v>
      </c>
      <c r="J11" s="12" t="e" cm="1">
        <f t="array" ref="J11">INDEX(参考映射表!J:J&amp;"",MATCH(IFERROR(LEFT($A11,FIND("银行",$A11)+1),LEFT($A11,FIND("信用合作联社",$A11)+5)),参考映射表!$A:$A,0))</f>
        <v>#VALUE!</v>
      </c>
      <c r="K11" s="12" t="e" cm="1">
        <f t="array" ref="K11">INDEX(参考映射表!K:K&amp;"",MATCH(IFERROR(LEFT($A11,FIND("银行",$A11)+1),LEFT($A11,FIND("信用合作联社",$A11)+5)),参考映射表!$A:$A,0))</f>
        <v>#VALUE!</v>
      </c>
      <c r="L11" s="12" t="e" cm="1">
        <f t="array" ref="L11">INDEX(参考映射表!L:L&amp;"",MATCH(IFERROR(LEFT($A11,FIND("银行",$A11)+1),LEFT($A11,FIND("信用合作联社",$A11)+5)),参考映射表!$A:$A,0))</f>
        <v>#VALUE!</v>
      </c>
      <c r="M11" s="12" t="e" cm="1">
        <f t="array" ref="M11">INDEX(参考映射表!M:M&amp;"",MATCH(IFERROR(LEFT($A11,FIND("银行",$A11)+1),LEFT($A11,FIND("信用合作联社",$A11)+5)),参考映射表!$A:$A,0))</f>
        <v>#VALUE!</v>
      </c>
    </row>
    <row r="12" spans="1:13">
      <c r="A12" s="4"/>
      <c r="B12" s="12" t="e" cm="1">
        <f t="array" ref="B12">INDEX(参考映射表!B:B&amp;"",MATCH(IFERROR(LEFT($A12,FIND("银行",$A12)+1),LEFT($A12,FIND("信用合作联社",$A12)+5)),参考映射表!$A:$A,0))</f>
        <v>#VALUE!</v>
      </c>
      <c r="C12" s="12" t="e" cm="1">
        <f t="array" ref="C12">INDEX(参考映射表!C:C&amp;"",MATCH(IFERROR(LEFT($A12,FIND("银行",$A12)+1),LEFT($A12,FIND("信用合作联社",$A12)+5)),参考映射表!$A:$A,0))</f>
        <v>#VALUE!</v>
      </c>
      <c r="D12" s="12" t="e" cm="1">
        <f t="array" ref="D12">INDEX(参考映射表!D:D&amp;"",MATCH(IFERROR(LEFT($A12,FIND("银行",$A12)+1),LEFT($A12,FIND("信用合作联社",$A12)+5)),参考映射表!$A:$A,0))</f>
        <v>#VALUE!</v>
      </c>
      <c r="E12" s="12" t="e" cm="1">
        <f t="array" ref="E12">INDEX(参考映射表!E:E&amp;"",MATCH(IFERROR(LEFT($A12,FIND("银行",$A12)+1),LEFT($A12,FIND("信用合作联社",$A12)+5)),参考映射表!$A:$A,0))</f>
        <v>#VALUE!</v>
      </c>
      <c r="F12" s="12" t="e" cm="1">
        <f t="array" ref="F12">INDEX(参考映射表!F:F&amp;"",MATCH(IFERROR(LEFT($A12,FIND("银行",$A12)+1),LEFT($A12,FIND("信用合作联社",$A12)+5)),参考映射表!$A:$A,0))</f>
        <v>#VALUE!</v>
      </c>
      <c r="G12" s="12" t="e" cm="1">
        <f t="array" ref="G12">INDEX(参考映射表!G:G&amp;"",MATCH(IFERROR(LEFT($A12,FIND("银行",$A12)+1),LEFT($A12,FIND("信用合作联社",$A12)+5)),参考映射表!$A:$A,0))</f>
        <v>#VALUE!</v>
      </c>
      <c r="H12" s="12" t="e" cm="1">
        <f t="array" ref="H12">INDEX(参考映射表!H:H&amp;"",MATCH(IFERROR(LEFT($A12,FIND("银行",$A12)+1),LEFT($A12,FIND("信用合作联社",$A12)+5)),参考映射表!$A:$A,0))</f>
        <v>#VALUE!</v>
      </c>
      <c r="I12" s="12" t="e" cm="1">
        <f t="array" ref="I12">INDEX(参考映射表!I:I&amp;"",MATCH(IFERROR(LEFT($A12,FIND("银行",$A12)+1),LEFT($A12,FIND("信用合作联社",$A12)+5)),参考映射表!$A:$A,0))</f>
        <v>#VALUE!</v>
      </c>
      <c r="J12" s="12" t="e" cm="1">
        <f t="array" ref="J12">INDEX(参考映射表!J:J&amp;"",MATCH(IFERROR(LEFT($A12,FIND("银行",$A12)+1),LEFT($A12,FIND("信用合作联社",$A12)+5)),参考映射表!$A:$A,0))</f>
        <v>#VALUE!</v>
      </c>
      <c r="K12" s="12" t="e" cm="1">
        <f t="array" ref="K12">INDEX(参考映射表!K:K&amp;"",MATCH(IFERROR(LEFT($A12,FIND("银行",$A12)+1),LEFT($A12,FIND("信用合作联社",$A12)+5)),参考映射表!$A:$A,0))</f>
        <v>#VALUE!</v>
      </c>
      <c r="L12" s="12" t="e" cm="1">
        <f t="array" ref="L12">INDEX(参考映射表!L:L&amp;"",MATCH(IFERROR(LEFT($A12,FIND("银行",$A12)+1),LEFT($A12,FIND("信用合作联社",$A12)+5)),参考映射表!$A:$A,0))</f>
        <v>#VALUE!</v>
      </c>
      <c r="M12" s="12" t="e" cm="1">
        <f t="array" ref="M12">INDEX(参考映射表!M:M&amp;"",MATCH(IFERROR(LEFT($A12,FIND("银行",$A12)+1),LEFT($A12,FIND("信用合作联社",$A12)+5)),参考映射表!$A:$A,0))</f>
        <v>#VALUE!</v>
      </c>
    </row>
    <row r="13" ht="54" spans="1:13">
      <c r="A13" s="4"/>
      <c r="B13" s="12" t="e" cm="1">
        <f t="array" ref="B13">INDEX(参考映射表!B:B&amp;"",MATCH(IFERROR(LEFT($A13,FIND("银行",$A13)+1),LEFT($A13,FIND("信用合作联社",$A13)+5)),参考映射表!$A:$A,0))</f>
        <v>#VALUE!</v>
      </c>
      <c r="C13" s="12" t="e" cm="1">
        <f t="array" ref="C13">INDEX(参考映射表!C:C&amp;"",MATCH(IFERROR(LEFT($A13,FIND("银行",$A13)+1),LEFT($A13,FIND("信用合作联社",$A13)+5)),参考映射表!$A:$A,0))</f>
        <v>#VALUE!</v>
      </c>
      <c r="D13" s="12" t="e" cm="1">
        <f t="array" ref="D13">INDEX(参考映射表!D:D&amp;"",MATCH(IFERROR(LEFT($A13,FIND("银行",$A13)+1),LEFT($A13,FIND("信用合作联社",$A13)+5)),参考映射表!$A:$A,0))</f>
        <v>#VALUE!</v>
      </c>
      <c r="E13" s="12" t="e" cm="1">
        <f t="array" ref="E13">INDEX(参考映射表!E:E&amp;"",MATCH(IFERROR(LEFT($A13,FIND("银行",$A13)+1),LEFT($A13,FIND("信用合作联社",$A13)+5)),参考映射表!$A:$A,0))</f>
        <v>#VALUE!</v>
      </c>
      <c r="F13" s="12" t="e" cm="1">
        <f t="array" ref="F13">INDEX(参考映射表!F:F&amp;"",MATCH(IFERROR(LEFT($A13,FIND("银行",$A13)+1),LEFT($A13,FIND("信用合作联社",$A13)+5)),参考映射表!$A:$A,0))</f>
        <v>#VALUE!</v>
      </c>
      <c r="G13" s="12" t="e" cm="1">
        <f t="array" ref="G13">INDEX(参考映射表!G:G&amp;"",MATCH(IFERROR(LEFT($A13,FIND("银行",$A13)+1),LEFT($A13,FIND("信用合作联社",$A13)+5)),参考映射表!$A:$A,0))</f>
        <v>#VALUE!</v>
      </c>
      <c r="H13" s="12" t="e" cm="1">
        <f t="array" ref="H13">INDEX(参考映射表!H:H&amp;"",MATCH(IFERROR(LEFT($A13,FIND("银行",$A13)+1),LEFT($A13,FIND("信用合作联社",$A13)+5)),参考映射表!$A:$A,0))</f>
        <v>#VALUE!</v>
      </c>
      <c r="I13" s="12" t="e" cm="1">
        <f t="array" ref="I13">INDEX(参考映射表!I:I&amp;"",MATCH(IFERROR(LEFT($A13,FIND("银行",$A13)+1),LEFT($A13,FIND("信用合作联社",$A13)+5)),参考映射表!$A:$A,0))</f>
        <v>#VALUE!</v>
      </c>
      <c r="J13" s="12" t="e" cm="1">
        <f t="array" ref="J13">INDEX(参考映射表!J:J&amp;"",MATCH(IFERROR(LEFT($A13,FIND("银行",$A13)+1),LEFT($A13,FIND("信用合作联社",$A13)+5)),参考映射表!$A:$A,0))</f>
        <v>#VALUE!</v>
      </c>
      <c r="K13" s="12" t="e" cm="1">
        <f t="array" ref="K13">INDEX(参考映射表!K:K&amp;"",MATCH(IFERROR(LEFT($A13,FIND("银行",$A13)+1),LEFT($A13,FIND("信用合作联社",$A13)+5)),参考映射表!$A:$A,0))</f>
        <v>#VALUE!</v>
      </c>
      <c r="L13" s="12" t="e" cm="1">
        <f t="array" ref="L13">INDEX(参考映射表!L:L&amp;"",MATCH(IFERROR(LEFT($A13,FIND("银行",$A13)+1),LEFT($A13,FIND("信用合作联社",$A13)+5)),参考映射表!$A:$A,0))</f>
        <v>#VALUE!</v>
      </c>
      <c r="M13" s="12" t="e" cm="1">
        <f t="array" ref="M13">INDEX(参考映射表!M:M&amp;"",MATCH(IFERROR(LEFT($A13,FIND("银行",$A13)+1),LEFT($A13,FIND("信用合作联社",$A13)+5)),参考映射表!$A:$A,0))</f>
        <v>#VALUE!</v>
      </c>
    </row>
    <row r="14" ht="54" spans="1:13">
      <c r="A14" s="4"/>
      <c r="B14" s="12" t="e" cm="1">
        <f t="array" ref="B14">INDEX(参考映射表!B:B&amp;"",MATCH(IFERROR(LEFT($A14,FIND("银行",$A14)+1),LEFT($A14,FIND("信用合作联社",$A14)+5)),参考映射表!$A:$A,0))</f>
        <v>#VALUE!</v>
      </c>
      <c r="C14" s="12" t="e" cm="1">
        <f t="array" ref="C14">INDEX(参考映射表!C:C&amp;"",MATCH(IFERROR(LEFT($A14,FIND("银行",$A14)+1),LEFT($A14,FIND("信用合作联社",$A14)+5)),参考映射表!$A:$A,0))</f>
        <v>#VALUE!</v>
      </c>
      <c r="D14" s="12" t="e" cm="1">
        <f t="array" ref="D14">INDEX(参考映射表!D:D&amp;"",MATCH(IFERROR(LEFT($A14,FIND("银行",$A14)+1),LEFT($A14,FIND("信用合作联社",$A14)+5)),参考映射表!$A:$A,0))</f>
        <v>#VALUE!</v>
      </c>
      <c r="E14" s="12" t="e" cm="1">
        <f t="array" ref="E14">INDEX(参考映射表!E:E&amp;"",MATCH(IFERROR(LEFT($A14,FIND("银行",$A14)+1),LEFT($A14,FIND("信用合作联社",$A14)+5)),参考映射表!$A:$A,0))</f>
        <v>#VALUE!</v>
      </c>
      <c r="F14" s="12" t="e" cm="1">
        <f t="array" ref="F14">INDEX(参考映射表!F:F&amp;"",MATCH(IFERROR(LEFT($A14,FIND("银行",$A14)+1),LEFT($A14,FIND("信用合作联社",$A14)+5)),参考映射表!$A:$A,0))</f>
        <v>#VALUE!</v>
      </c>
      <c r="G14" s="12" t="e" cm="1">
        <f t="array" ref="G14">INDEX(参考映射表!G:G&amp;"",MATCH(IFERROR(LEFT($A14,FIND("银行",$A14)+1),LEFT($A14,FIND("信用合作联社",$A14)+5)),参考映射表!$A:$A,0))</f>
        <v>#VALUE!</v>
      </c>
      <c r="H14" s="12" t="e" cm="1">
        <f t="array" ref="H14">INDEX(参考映射表!H:H&amp;"",MATCH(IFERROR(LEFT($A14,FIND("银行",$A14)+1),LEFT($A14,FIND("信用合作联社",$A14)+5)),参考映射表!$A:$A,0))</f>
        <v>#VALUE!</v>
      </c>
      <c r="I14" s="12" t="e" cm="1">
        <f t="array" ref="I14">INDEX(参考映射表!I:I&amp;"",MATCH(IFERROR(LEFT($A14,FIND("银行",$A14)+1),LEFT($A14,FIND("信用合作联社",$A14)+5)),参考映射表!$A:$A,0))</f>
        <v>#VALUE!</v>
      </c>
      <c r="J14" s="12" t="e" cm="1">
        <f t="array" ref="J14">INDEX(参考映射表!J:J&amp;"",MATCH(IFERROR(LEFT($A14,FIND("银行",$A14)+1),LEFT($A14,FIND("信用合作联社",$A14)+5)),参考映射表!$A:$A,0))</f>
        <v>#VALUE!</v>
      </c>
      <c r="K14" s="12" t="e" cm="1">
        <f t="array" ref="K14">INDEX(参考映射表!K:K&amp;"",MATCH(IFERROR(LEFT($A14,FIND("银行",$A14)+1),LEFT($A14,FIND("信用合作联社",$A14)+5)),参考映射表!$A:$A,0))</f>
        <v>#VALUE!</v>
      </c>
      <c r="L14" s="12" t="e" cm="1">
        <f t="array" ref="L14">INDEX(参考映射表!L:L&amp;"",MATCH(IFERROR(LEFT($A14,FIND("银行",$A14)+1),LEFT($A14,FIND("信用合作联社",$A14)+5)),参考映射表!$A:$A,0))</f>
        <v>#VALUE!</v>
      </c>
      <c r="M14" s="12" t="e" cm="1">
        <f t="array" ref="M14">INDEX(参考映射表!M:M&amp;"",MATCH(IFERROR(LEFT($A14,FIND("银行",$A14)+1),LEFT($A14,FIND("信用合作联社",$A14)+5)),参考映射表!$A:$A,0))</f>
        <v>#VALUE!</v>
      </c>
    </row>
    <row r="15" ht="54" spans="1:13">
      <c r="A15" s="4"/>
      <c r="B15" s="12" t="e" cm="1">
        <f t="array" ref="B15">INDEX(参考映射表!B:B&amp;"",MATCH(IFERROR(LEFT($A15,FIND("银行",$A15)+1),LEFT($A15,FIND("信用合作联社",$A15)+5)),参考映射表!$A:$A,0))</f>
        <v>#VALUE!</v>
      </c>
      <c r="C15" s="12" t="e" cm="1">
        <f t="array" ref="C15">INDEX(参考映射表!C:C&amp;"",MATCH(IFERROR(LEFT($A15,FIND("银行",$A15)+1),LEFT($A15,FIND("信用合作联社",$A15)+5)),参考映射表!$A:$A,0))</f>
        <v>#VALUE!</v>
      </c>
      <c r="D15" s="12" t="e" cm="1">
        <f t="array" ref="D15">INDEX(参考映射表!D:D&amp;"",MATCH(IFERROR(LEFT($A15,FIND("银行",$A15)+1),LEFT($A15,FIND("信用合作联社",$A15)+5)),参考映射表!$A:$A,0))</f>
        <v>#VALUE!</v>
      </c>
      <c r="E15" s="12" t="e" cm="1">
        <f t="array" ref="E15">INDEX(参考映射表!E:E&amp;"",MATCH(IFERROR(LEFT($A15,FIND("银行",$A15)+1),LEFT($A15,FIND("信用合作联社",$A15)+5)),参考映射表!$A:$A,0))</f>
        <v>#VALUE!</v>
      </c>
      <c r="F15" s="12" t="e" cm="1">
        <f t="array" ref="F15">INDEX(参考映射表!F:F&amp;"",MATCH(IFERROR(LEFT($A15,FIND("银行",$A15)+1),LEFT($A15,FIND("信用合作联社",$A15)+5)),参考映射表!$A:$A,0))</f>
        <v>#VALUE!</v>
      </c>
      <c r="G15" s="12" t="e" cm="1">
        <f t="array" ref="G15">INDEX(参考映射表!G:G&amp;"",MATCH(IFERROR(LEFT($A15,FIND("银行",$A15)+1),LEFT($A15,FIND("信用合作联社",$A15)+5)),参考映射表!$A:$A,0))</f>
        <v>#VALUE!</v>
      </c>
      <c r="H15" s="12" t="e" cm="1">
        <f t="array" ref="H15">INDEX(参考映射表!H:H&amp;"",MATCH(IFERROR(LEFT($A15,FIND("银行",$A15)+1),LEFT($A15,FIND("信用合作联社",$A15)+5)),参考映射表!$A:$A,0))</f>
        <v>#VALUE!</v>
      </c>
      <c r="I15" s="12" t="e" cm="1">
        <f t="array" ref="I15">INDEX(参考映射表!I:I&amp;"",MATCH(IFERROR(LEFT($A15,FIND("银行",$A15)+1),LEFT($A15,FIND("信用合作联社",$A15)+5)),参考映射表!$A:$A,0))</f>
        <v>#VALUE!</v>
      </c>
      <c r="J15" s="12" t="e" cm="1">
        <f t="array" ref="J15">INDEX(参考映射表!J:J&amp;"",MATCH(IFERROR(LEFT($A15,FIND("银行",$A15)+1),LEFT($A15,FIND("信用合作联社",$A15)+5)),参考映射表!$A:$A,0))</f>
        <v>#VALUE!</v>
      </c>
      <c r="K15" s="12" t="e" cm="1">
        <f t="array" ref="K15">INDEX(参考映射表!K:K&amp;"",MATCH(IFERROR(LEFT($A15,FIND("银行",$A15)+1),LEFT($A15,FIND("信用合作联社",$A15)+5)),参考映射表!$A:$A,0))</f>
        <v>#VALUE!</v>
      </c>
      <c r="L15" s="12" t="e" cm="1">
        <f t="array" ref="L15">INDEX(参考映射表!L:L&amp;"",MATCH(IFERROR(LEFT($A15,FIND("银行",$A15)+1),LEFT($A15,FIND("信用合作联社",$A15)+5)),参考映射表!$A:$A,0))</f>
        <v>#VALUE!</v>
      </c>
      <c r="M15" s="12" t="e" cm="1">
        <f t="array" ref="M15">INDEX(参考映射表!M:M&amp;"",MATCH(IFERROR(LEFT($A15,FIND("银行",$A15)+1),LEFT($A15,FIND("信用合作联社",$A15)+5)),参考映射表!$A:$A,0))</f>
        <v>#VALUE!</v>
      </c>
    </row>
    <row r="16" ht="54" spans="1:13">
      <c r="A16" s="4"/>
      <c r="B16" s="12" t="e" cm="1">
        <f t="array" ref="B16">INDEX(参考映射表!B:B&amp;"",MATCH(IFERROR(LEFT($A16,FIND("银行",$A16)+1),LEFT($A16,FIND("信用合作联社",$A16)+5)),参考映射表!$A:$A,0))</f>
        <v>#VALUE!</v>
      </c>
      <c r="C16" s="12" t="e" cm="1">
        <f t="array" ref="C16">INDEX(参考映射表!C:C&amp;"",MATCH(IFERROR(LEFT($A16,FIND("银行",$A16)+1),LEFT($A16,FIND("信用合作联社",$A16)+5)),参考映射表!$A:$A,0))</f>
        <v>#VALUE!</v>
      </c>
      <c r="D16" s="12" t="e" cm="1">
        <f t="array" ref="D16">INDEX(参考映射表!D:D&amp;"",MATCH(IFERROR(LEFT($A16,FIND("银行",$A16)+1),LEFT($A16,FIND("信用合作联社",$A16)+5)),参考映射表!$A:$A,0))</f>
        <v>#VALUE!</v>
      </c>
      <c r="E16" s="12" t="e" cm="1">
        <f t="array" ref="E16">INDEX(参考映射表!E:E&amp;"",MATCH(IFERROR(LEFT($A16,FIND("银行",$A16)+1),LEFT($A16,FIND("信用合作联社",$A16)+5)),参考映射表!$A:$A,0))</f>
        <v>#VALUE!</v>
      </c>
      <c r="F16" s="12" t="e" cm="1">
        <f t="array" ref="F16">INDEX(参考映射表!F:F&amp;"",MATCH(IFERROR(LEFT($A16,FIND("银行",$A16)+1),LEFT($A16,FIND("信用合作联社",$A16)+5)),参考映射表!$A:$A,0))</f>
        <v>#VALUE!</v>
      </c>
      <c r="G16" s="12" t="e" cm="1">
        <f t="array" ref="G16">INDEX(参考映射表!G:G&amp;"",MATCH(IFERROR(LEFT($A16,FIND("银行",$A16)+1),LEFT($A16,FIND("信用合作联社",$A16)+5)),参考映射表!$A:$A,0))</f>
        <v>#VALUE!</v>
      </c>
      <c r="H16" s="12" t="e" cm="1">
        <f t="array" ref="H16">INDEX(参考映射表!H:H&amp;"",MATCH(IFERROR(LEFT($A16,FIND("银行",$A16)+1),LEFT($A16,FIND("信用合作联社",$A16)+5)),参考映射表!$A:$A,0))</f>
        <v>#VALUE!</v>
      </c>
      <c r="I16" s="12" t="e" cm="1">
        <f t="array" ref="I16">INDEX(参考映射表!I:I&amp;"",MATCH(IFERROR(LEFT($A16,FIND("银行",$A16)+1),LEFT($A16,FIND("信用合作联社",$A16)+5)),参考映射表!$A:$A,0))</f>
        <v>#VALUE!</v>
      </c>
      <c r="J16" s="12" t="e" cm="1">
        <f t="array" ref="J16">INDEX(参考映射表!J:J&amp;"",MATCH(IFERROR(LEFT($A16,FIND("银行",$A16)+1),LEFT($A16,FIND("信用合作联社",$A16)+5)),参考映射表!$A:$A,0))</f>
        <v>#VALUE!</v>
      </c>
      <c r="K16" s="12" t="e" cm="1">
        <f t="array" ref="K16">INDEX(参考映射表!K:K&amp;"",MATCH(IFERROR(LEFT($A16,FIND("银行",$A16)+1),LEFT($A16,FIND("信用合作联社",$A16)+5)),参考映射表!$A:$A,0))</f>
        <v>#VALUE!</v>
      </c>
      <c r="L16" s="12" t="e" cm="1">
        <f t="array" ref="L16">INDEX(参考映射表!L:L&amp;"",MATCH(IFERROR(LEFT($A16,FIND("银行",$A16)+1),LEFT($A16,FIND("信用合作联社",$A16)+5)),参考映射表!$A:$A,0))</f>
        <v>#VALUE!</v>
      </c>
      <c r="M16" s="12" t="e" cm="1">
        <f t="array" ref="M16">INDEX(参考映射表!M:M&amp;"",MATCH(IFERROR(LEFT($A16,FIND("银行",$A16)+1),LEFT($A16,FIND("信用合作联社",$A16)+5)),参考映射表!$A:$A,0))</f>
        <v>#VALUE!</v>
      </c>
    </row>
    <row r="17" ht="27" spans="1:13">
      <c r="A17" s="13"/>
      <c r="B17" s="12" t="e" cm="1">
        <f t="array" ref="B17">INDEX(参考映射表!B:B&amp;"",MATCH(IFERROR(LEFT($A17,FIND("银行",$A17)+1),LEFT($A17,FIND("信用合作联社",$A17)+5)),参考映射表!$A:$A,0))</f>
        <v>#VALUE!</v>
      </c>
      <c r="C17" s="12" t="e" cm="1">
        <f t="array" ref="C17">INDEX(参考映射表!C:C&amp;"",MATCH(IFERROR(LEFT($A17,FIND("银行",$A17)+1),LEFT($A17,FIND("信用合作联社",$A17)+5)),参考映射表!$A:$A,0))</f>
        <v>#VALUE!</v>
      </c>
      <c r="D17" s="12" t="e" cm="1">
        <f t="array" ref="D17">INDEX(参考映射表!D:D&amp;"",MATCH(IFERROR(LEFT($A17,FIND("银行",$A17)+1),LEFT($A17,FIND("信用合作联社",$A17)+5)),参考映射表!$A:$A,0))</f>
        <v>#VALUE!</v>
      </c>
      <c r="E17" s="12" t="e" cm="1">
        <f t="array" ref="E17">INDEX(参考映射表!E:E&amp;"",MATCH(IFERROR(LEFT($A17,FIND("银行",$A17)+1),LEFT($A17,FIND("信用合作联社",$A17)+5)),参考映射表!$A:$A,0))</f>
        <v>#VALUE!</v>
      </c>
      <c r="F17" s="12" t="e" cm="1">
        <f t="array" ref="F17">INDEX(参考映射表!F:F&amp;"",MATCH(IFERROR(LEFT($A17,FIND("银行",$A17)+1),LEFT($A17,FIND("信用合作联社",$A17)+5)),参考映射表!$A:$A,0))</f>
        <v>#VALUE!</v>
      </c>
      <c r="G17" s="12" t="e" cm="1">
        <f t="array" ref="G17">INDEX(参考映射表!G:G&amp;"",MATCH(IFERROR(LEFT($A17,FIND("银行",$A17)+1),LEFT($A17,FIND("信用合作联社",$A17)+5)),参考映射表!$A:$A,0))</f>
        <v>#VALUE!</v>
      </c>
      <c r="H17" s="12" t="e" cm="1">
        <f t="array" ref="H17">INDEX(参考映射表!H:H&amp;"",MATCH(IFERROR(LEFT($A17,FIND("银行",$A17)+1),LEFT($A17,FIND("信用合作联社",$A17)+5)),参考映射表!$A:$A,0))</f>
        <v>#VALUE!</v>
      </c>
      <c r="I17" s="12" t="e" cm="1">
        <f t="array" ref="I17">INDEX(参考映射表!I:I&amp;"",MATCH(IFERROR(LEFT($A17,FIND("银行",$A17)+1),LEFT($A17,FIND("信用合作联社",$A17)+5)),参考映射表!$A:$A,0))</f>
        <v>#VALUE!</v>
      </c>
      <c r="J17" s="12" t="e" cm="1">
        <f t="array" ref="J17">INDEX(参考映射表!J:J&amp;"",MATCH(IFERROR(LEFT($A17,FIND("银行",$A17)+1),LEFT($A17,FIND("信用合作联社",$A17)+5)),参考映射表!$A:$A,0))</f>
        <v>#VALUE!</v>
      </c>
      <c r="K17" s="12" t="e" cm="1">
        <f t="array" ref="K17">INDEX(参考映射表!K:K&amp;"",MATCH(IFERROR(LEFT($A17,FIND("银行",$A17)+1),LEFT($A17,FIND("信用合作联社",$A17)+5)),参考映射表!$A:$A,0))</f>
        <v>#VALUE!</v>
      </c>
      <c r="L17" s="12" t="e" cm="1">
        <f t="array" ref="L17">INDEX(参考映射表!L:L&amp;"",MATCH(IFERROR(LEFT($A17,FIND("银行",$A17)+1),LEFT($A17,FIND("信用合作联社",$A17)+5)),参考映射表!$A:$A,0))</f>
        <v>#VALUE!</v>
      </c>
      <c r="M17" s="12" t="e" cm="1">
        <f t="array" ref="M17">INDEX(参考映射表!M:M&amp;"",MATCH(IFERROR(LEFT($A17,FIND("银行",$A17)+1),LEFT($A17,FIND("信用合作联社",$A17)+5)),参考映射表!$A:$A,0))</f>
        <v>#VALUE!</v>
      </c>
    </row>
    <row r="18" spans="1:13">
      <c r="A18" s="4"/>
      <c r="B18" s="12" t="e" cm="1">
        <f t="array" ref="B18">INDEX(参考映射表!B:B&amp;"",MATCH(IFERROR(LEFT($A18,FIND("银行",$A18)+1),LEFT($A18,FIND("信用合作联社",$A18)+5)),参考映射表!$A:$A,0))</f>
        <v>#VALUE!</v>
      </c>
      <c r="C18" s="12" t="e" cm="1">
        <f t="array" ref="C18">INDEX(参考映射表!C:C&amp;"",MATCH(IFERROR(LEFT($A18,FIND("银行",$A18)+1),LEFT($A18,FIND("信用合作联社",$A18)+5)),参考映射表!$A:$A,0))</f>
        <v>#VALUE!</v>
      </c>
      <c r="D18" s="12" t="e" cm="1">
        <f t="array" ref="D18">INDEX(参考映射表!D:D&amp;"",MATCH(IFERROR(LEFT($A18,FIND("银行",$A18)+1),LEFT($A18,FIND("信用合作联社",$A18)+5)),参考映射表!$A:$A,0))</f>
        <v>#VALUE!</v>
      </c>
      <c r="E18" s="12" t="e" cm="1">
        <f t="array" ref="E18">INDEX(参考映射表!E:E&amp;"",MATCH(IFERROR(LEFT($A18,FIND("银行",$A18)+1),LEFT($A18,FIND("信用合作联社",$A18)+5)),参考映射表!$A:$A,0))</f>
        <v>#VALUE!</v>
      </c>
      <c r="F18" s="12" t="e" cm="1">
        <f t="array" ref="F18">INDEX(参考映射表!F:F&amp;"",MATCH(IFERROR(LEFT($A18,FIND("银行",$A18)+1),LEFT($A18,FIND("信用合作联社",$A18)+5)),参考映射表!$A:$A,0))</f>
        <v>#VALUE!</v>
      </c>
      <c r="G18" s="12" t="e" cm="1">
        <f t="array" ref="G18">INDEX(参考映射表!G:G&amp;"",MATCH(IFERROR(LEFT($A18,FIND("银行",$A18)+1),LEFT($A18,FIND("信用合作联社",$A18)+5)),参考映射表!$A:$A,0))</f>
        <v>#VALUE!</v>
      </c>
      <c r="H18" s="12" t="e" cm="1">
        <f t="array" ref="H18">INDEX(参考映射表!H:H&amp;"",MATCH(IFERROR(LEFT($A18,FIND("银行",$A18)+1),LEFT($A18,FIND("信用合作联社",$A18)+5)),参考映射表!$A:$A,0))</f>
        <v>#VALUE!</v>
      </c>
      <c r="I18" s="12" t="e" cm="1">
        <f t="array" ref="I18">INDEX(参考映射表!I:I&amp;"",MATCH(IFERROR(LEFT($A18,FIND("银行",$A18)+1),LEFT($A18,FIND("信用合作联社",$A18)+5)),参考映射表!$A:$A,0))</f>
        <v>#VALUE!</v>
      </c>
      <c r="J18" s="12" t="e" cm="1">
        <f t="array" ref="J18">INDEX(参考映射表!J:J&amp;"",MATCH(IFERROR(LEFT($A18,FIND("银行",$A18)+1),LEFT($A18,FIND("信用合作联社",$A18)+5)),参考映射表!$A:$A,0))</f>
        <v>#VALUE!</v>
      </c>
      <c r="K18" s="12" t="e" cm="1">
        <f t="array" ref="K18">INDEX(参考映射表!K:K&amp;"",MATCH(IFERROR(LEFT($A18,FIND("银行",$A18)+1),LEFT($A18,FIND("信用合作联社",$A18)+5)),参考映射表!$A:$A,0))</f>
        <v>#VALUE!</v>
      </c>
      <c r="L18" s="12" t="e" cm="1">
        <f t="array" ref="L18">INDEX(参考映射表!L:L&amp;"",MATCH(IFERROR(LEFT($A18,FIND("银行",$A18)+1),LEFT($A18,FIND("信用合作联社",$A18)+5)),参考映射表!$A:$A,0))</f>
        <v>#VALUE!</v>
      </c>
      <c r="M18" s="12" t="e" cm="1">
        <f t="array" ref="M18">INDEX(参考映射表!M:M&amp;"",MATCH(IFERROR(LEFT($A18,FIND("银行",$A18)+1),LEFT($A18,FIND("信用合作联社",$A18)+5)),参考映射表!$A:$A,0))</f>
        <v>#VALUE!</v>
      </c>
    </row>
    <row r="19" spans="1:13">
      <c r="A19" s="4"/>
      <c r="B19" s="12" t="e" cm="1">
        <f t="array" ref="B19">INDEX(参考映射表!B:B&amp;"",MATCH(IFERROR(LEFT($A19,FIND("银行",$A19)+1),LEFT($A19,FIND("信用合作联社",$A19)+5)),参考映射表!$A:$A,0))</f>
        <v>#VALUE!</v>
      </c>
      <c r="C19" s="12" t="e" cm="1">
        <f t="array" ref="C19">INDEX(参考映射表!C:C&amp;"",MATCH(IFERROR(LEFT($A19,FIND("银行",$A19)+1),LEFT($A19,FIND("信用合作联社",$A19)+5)),参考映射表!$A:$A,0))</f>
        <v>#VALUE!</v>
      </c>
      <c r="D19" s="12" t="e" cm="1">
        <f t="array" ref="D19">INDEX(参考映射表!D:D&amp;"",MATCH(IFERROR(LEFT($A19,FIND("银行",$A19)+1),LEFT($A19,FIND("信用合作联社",$A19)+5)),参考映射表!$A:$A,0))</f>
        <v>#VALUE!</v>
      </c>
      <c r="E19" s="12" t="e" cm="1">
        <f t="array" ref="E19">INDEX(参考映射表!E:E&amp;"",MATCH(IFERROR(LEFT($A19,FIND("银行",$A19)+1),LEFT($A19,FIND("信用合作联社",$A19)+5)),参考映射表!$A:$A,0))</f>
        <v>#VALUE!</v>
      </c>
      <c r="F19" s="12" t="e" cm="1">
        <f t="array" ref="F19">INDEX(参考映射表!F:F&amp;"",MATCH(IFERROR(LEFT($A19,FIND("银行",$A19)+1),LEFT($A19,FIND("信用合作联社",$A19)+5)),参考映射表!$A:$A,0))</f>
        <v>#VALUE!</v>
      </c>
      <c r="G19" s="12" t="e" cm="1">
        <f t="array" ref="G19">INDEX(参考映射表!G:G&amp;"",MATCH(IFERROR(LEFT($A19,FIND("银行",$A19)+1),LEFT($A19,FIND("信用合作联社",$A19)+5)),参考映射表!$A:$A,0))</f>
        <v>#VALUE!</v>
      </c>
      <c r="H19" s="12" t="e" cm="1">
        <f t="array" ref="H19">INDEX(参考映射表!H:H&amp;"",MATCH(IFERROR(LEFT($A19,FIND("银行",$A19)+1),LEFT($A19,FIND("信用合作联社",$A19)+5)),参考映射表!$A:$A,0))</f>
        <v>#VALUE!</v>
      </c>
      <c r="I19" s="12" t="e" cm="1">
        <f t="array" ref="I19">INDEX(参考映射表!I:I&amp;"",MATCH(IFERROR(LEFT($A19,FIND("银行",$A19)+1),LEFT($A19,FIND("信用合作联社",$A19)+5)),参考映射表!$A:$A,0))</f>
        <v>#VALUE!</v>
      </c>
      <c r="J19" s="12" t="e" cm="1">
        <f t="array" ref="J19">INDEX(参考映射表!J:J&amp;"",MATCH(IFERROR(LEFT($A19,FIND("银行",$A19)+1),LEFT($A19,FIND("信用合作联社",$A19)+5)),参考映射表!$A:$A,0))</f>
        <v>#VALUE!</v>
      </c>
      <c r="K19" s="12" t="e" cm="1">
        <f t="array" ref="K19">INDEX(参考映射表!K:K&amp;"",MATCH(IFERROR(LEFT($A19,FIND("银行",$A19)+1),LEFT($A19,FIND("信用合作联社",$A19)+5)),参考映射表!$A:$A,0))</f>
        <v>#VALUE!</v>
      </c>
      <c r="L19" s="12" t="e" cm="1">
        <f t="array" ref="L19">INDEX(参考映射表!L:L&amp;"",MATCH(IFERROR(LEFT($A19,FIND("银行",$A19)+1),LEFT($A19,FIND("信用合作联社",$A19)+5)),参考映射表!$A:$A,0))</f>
        <v>#VALUE!</v>
      </c>
      <c r="M19" s="12" t="e" cm="1">
        <f t="array" ref="M19">INDEX(参考映射表!M:M&amp;"",MATCH(IFERROR(LEFT($A19,FIND("银行",$A19)+1),LEFT($A19,FIND("信用合作联社",$A19)+5)),参考映射表!$A:$A,0))</f>
        <v>#VALUE!</v>
      </c>
    </row>
    <row r="20" spans="1:13">
      <c r="A20" s="4"/>
      <c r="B20" s="12" t="e" cm="1">
        <f t="array" ref="B20">INDEX(参考映射表!B:B&amp;"",MATCH(IFERROR(LEFT($A20,FIND("银行",$A20)+1),LEFT($A20,FIND("信用合作联社",$A20)+5)),参考映射表!$A:$A,0))</f>
        <v>#VALUE!</v>
      </c>
      <c r="C20" s="12" t="e" cm="1">
        <f t="array" ref="C20">INDEX(参考映射表!C:C&amp;"",MATCH(IFERROR(LEFT($A20,FIND("银行",$A20)+1),LEFT($A20,FIND("信用合作联社",$A20)+5)),参考映射表!$A:$A,0))</f>
        <v>#VALUE!</v>
      </c>
      <c r="D20" s="12" t="e" cm="1">
        <f t="array" ref="D20">INDEX(参考映射表!D:D&amp;"",MATCH(IFERROR(LEFT($A20,FIND("银行",$A20)+1),LEFT($A20,FIND("信用合作联社",$A20)+5)),参考映射表!$A:$A,0))</f>
        <v>#VALUE!</v>
      </c>
      <c r="E20" s="12" t="e" cm="1">
        <f t="array" ref="E20">INDEX(参考映射表!E:E&amp;"",MATCH(IFERROR(LEFT($A20,FIND("银行",$A20)+1),LEFT($A20,FIND("信用合作联社",$A20)+5)),参考映射表!$A:$A,0))</f>
        <v>#VALUE!</v>
      </c>
      <c r="F20" s="12" t="e" cm="1">
        <f t="array" ref="F20">INDEX(参考映射表!F:F&amp;"",MATCH(IFERROR(LEFT($A20,FIND("银行",$A20)+1),LEFT($A20,FIND("信用合作联社",$A20)+5)),参考映射表!$A:$A,0))</f>
        <v>#VALUE!</v>
      </c>
      <c r="G20" s="12" t="e" cm="1">
        <f t="array" ref="G20">INDEX(参考映射表!G:G&amp;"",MATCH(IFERROR(LEFT($A20,FIND("银行",$A20)+1),LEFT($A20,FIND("信用合作联社",$A20)+5)),参考映射表!$A:$A,0))</f>
        <v>#VALUE!</v>
      </c>
      <c r="H20" s="12" t="e" cm="1">
        <f t="array" ref="H20">INDEX(参考映射表!H:H&amp;"",MATCH(IFERROR(LEFT($A20,FIND("银行",$A20)+1),LEFT($A20,FIND("信用合作联社",$A20)+5)),参考映射表!$A:$A,0))</f>
        <v>#VALUE!</v>
      </c>
      <c r="I20" s="12" t="e" cm="1">
        <f t="array" ref="I20">INDEX(参考映射表!I:I&amp;"",MATCH(IFERROR(LEFT($A20,FIND("银行",$A20)+1),LEFT($A20,FIND("信用合作联社",$A20)+5)),参考映射表!$A:$A,0))</f>
        <v>#VALUE!</v>
      </c>
      <c r="J20" s="12" t="e" cm="1">
        <f t="array" ref="J20">INDEX(参考映射表!J:J&amp;"",MATCH(IFERROR(LEFT($A20,FIND("银行",$A20)+1),LEFT($A20,FIND("信用合作联社",$A20)+5)),参考映射表!$A:$A,0))</f>
        <v>#VALUE!</v>
      </c>
      <c r="K20" s="12" t="e" cm="1">
        <f t="array" ref="K20">INDEX(参考映射表!K:K&amp;"",MATCH(IFERROR(LEFT($A20,FIND("银行",$A20)+1),LEFT($A20,FIND("信用合作联社",$A20)+5)),参考映射表!$A:$A,0))</f>
        <v>#VALUE!</v>
      </c>
      <c r="L20" s="12" t="e" cm="1">
        <f t="array" ref="L20">INDEX(参考映射表!L:L&amp;"",MATCH(IFERROR(LEFT($A20,FIND("银行",$A20)+1),LEFT($A20,FIND("信用合作联社",$A20)+5)),参考映射表!$A:$A,0))</f>
        <v>#VALUE!</v>
      </c>
      <c r="M20" s="12" t="e" cm="1">
        <f t="array" ref="M20">INDEX(参考映射表!M:M&amp;"",MATCH(IFERROR(LEFT($A20,FIND("银行",$A20)+1),LEFT($A20,FIND("信用合作联社",$A20)+5)),参考映射表!$A:$A,0))</f>
        <v>#VALUE!</v>
      </c>
    </row>
    <row r="21" spans="1:13">
      <c r="A21" s="4"/>
      <c r="B21" s="12" t="e" cm="1">
        <f t="array" ref="B21">INDEX(参考映射表!B:B&amp;"",MATCH(IFERROR(LEFT($A21,FIND("银行",$A21)+1),LEFT($A21,FIND("信用合作联社",$A21)+5)),参考映射表!$A:$A,0))</f>
        <v>#VALUE!</v>
      </c>
      <c r="C21" s="12" t="e" cm="1">
        <f t="array" ref="C21">INDEX(参考映射表!C:C&amp;"",MATCH(IFERROR(LEFT($A21,FIND("银行",$A21)+1),LEFT($A21,FIND("信用合作联社",$A21)+5)),参考映射表!$A:$A,0))</f>
        <v>#VALUE!</v>
      </c>
      <c r="D21" s="12" t="e" cm="1">
        <f t="array" ref="D21">INDEX(参考映射表!D:D&amp;"",MATCH(IFERROR(LEFT($A21,FIND("银行",$A21)+1),LEFT($A21,FIND("信用合作联社",$A21)+5)),参考映射表!$A:$A,0))</f>
        <v>#VALUE!</v>
      </c>
      <c r="E21" s="12" t="e" cm="1">
        <f t="array" ref="E21">INDEX(参考映射表!E:E&amp;"",MATCH(IFERROR(LEFT($A21,FIND("银行",$A21)+1),LEFT($A21,FIND("信用合作联社",$A21)+5)),参考映射表!$A:$A,0))</f>
        <v>#VALUE!</v>
      </c>
      <c r="F21" s="12" t="e" cm="1">
        <f t="array" ref="F21">INDEX(参考映射表!F:F&amp;"",MATCH(IFERROR(LEFT($A21,FIND("银行",$A21)+1),LEFT($A21,FIND("信用合作联社",$A21)+5)),参考映射表!$A:$A,0))</f>
        <v>#VALUE!</v>
      </c>
      <c r="G21" s="12" t="e" cm="1">
        <f t="array" ref="G21">INDEX(参考映射表!G:G&amp;"",MATCH(IFERROR(LEFT($A21,FIND("银行",$A21)+1),LEFT($A21,FIND("信用合作联社",$A21)+5)),参考映射表!$A:$A,0))</f>
        <v>#VALUE!</v>
      </c>
      <c r="H21" s="12" t="e" cm="1">
        <f t="array" ref="H21">INDEX(参考映射表!H:H&amp;"",MATCH(IFERROR(LEFT($A21,FIND("银行",$A21)+1),LEFT($A21,FIND("信用合作联社",$A21)+5)),参考映射表!$A:$A,0))</f>
        <v>#VALUE!</v>
      </c>
      <c r="I21" s="12" t="e" cm="1">
        <f t="array" ref="I21">INDEX(参考映射表!I:I&amp;"",MATCH(IFERROR(LEFT($A21,FIND("银行",$A21)+1),LEFT($A21,FIND("信用合作联社",$A21)+5)),参考映射表!$A:$A,0))</f>
        <v>#VALUE!</v>
      </c>
      <c r="J21" s="12" t="e" cm="1">
        <f t="array" ref="J21">INDEX(参考映射表!J:J&amp;"",MATCH(IFERROR(LEFT($A21,FIND("银行",$A21)+1),LEFT($A21,FIND("信用合作联社",$A21)+5)),参考映射表!$A:$A,0))</f>
        <v>#VALUE!</v>
      </c>
      <c r="K21" s="12" t="e" cm="1">
        <f t="array" ref="K21">INDEX(参考映射表!K:K&amp;"",MATCH(IFERROR(LEFT($A21,FIND("银行",$A21)+1),LEFT($A21,FIND("信用合作联社",$A21)+5)),参考映射表!$A:$A,0))</f>
        <v>#VALUE!</v>
      </c>
      <c r="L21" s="12" t="e" cm="1">
        <f t="array" ref="L21">INDEX(参考映射表!L:L&amp;"",MATCH(IFERROR(LEFT($A21,FIND("银行",$A21)+1),LEFT($A21,FIND("信用合作联社",$A21)+5)),参考映射表!$A:$A,0))</f>
        <v>#VALUE!</v>
      </c>
      <c r="M21" s="12" t="e" cm="1">
        <f t="array" ref="M21">INDEX(参考映射表!M:M&amp;"",MATCH(IFERROR(LEFT($A21,FIND("银行",$A21)+1),LEFT($A21,FIND("信用合作联社",$A21)+5)),参考映射表!$A:$A,0))</f>
        <v>#VALUE!</v>
      </c>
    </row>
    <row r="22" spans="1:13">
      <c r="A22" s="4"/>
      <c r="B22" s="12" t="e" cm="1">
        <f t="array" ref="B22">INDEX(参考映射表!B:B&amp;"",MATCH(IFERROR(LEFT($A22,FIND("银行",$A22)+1),LEFT($A22,FIND("信用合作联社",$A22)+5)),参考映射表!$A:$A,0))</f>
        <v>#VALUE!</v>
      </c>
      <c r="C22" s="12" t="e" cm="1">
        <f t="array" ref="C22">INDEX(参考映射表!C:C&amp;"",MATCH(IFERROR(LEFT($A22,FIND("银行",$A22)+1),LEFT($A22,FIND("信用合作联社",$A22)+5)),参考映射表!$A:$A,0))</f>
        <v>#VALUE!</v>
      </c>
      <c r="D22" s="12" t="e" cm="1">
        <f t="array" ref="D22">INDEX(参考映射表!D:D&amp;"",MATCH(IFERROR(LEFT($A22,FIND("银行",$A22)+1),LEFT($A22,FIND("信用合作联社",$A22)+5)),参考映射表!$A:$A,0))</f>
        <v>#VALUE!</v>
      </c>
      <c r="E22" s="12" t="e" cm="1">
        <f t="array" ref="E22">INDEX(参考映射表!E:E&amp;"",MATCH(IFERROR(LEFT($A22,FIND("银行",$A22)+1),LEFT($A22,FIND("信用合作联社",$A22)+5)),参考映射表!$A:$A,0))</f>
        <v>#VALUE!</v>
      </c>
      <c r="F22" s="12" t="e" cm="1">
        <f t="array" ref="F22">INDEX(参考映射表!F:F&amp;"",MATCH(IFERROR(LEFT($A22,FIND("银行",$A22)+1),LEFT($A22,FIND("信用合作联社",$A22)+5)),参考映射表!$A:$A,0))</f>
        <v>#VALUE!</v>
      </c>
      <c r="G22" s="12" t="e" cm="1">
        <f t="array" ref="G22">INDEX(参考映射表!G:G&amp;"",MATCH(IFERROR(LEFT($A22,FIND("银行",$A22)+1),LEFT($A22,FIND("信用合作联社",$A22)+5)),参考映射表!$A:$A,0))</f>
        <v>#VALUE!</v>
      </c>
      <c r="H22" s="12" t="e" cm="1">
        <f t="array" ref="H22">INDEX(参考映射表!H:H&amp;"",MATCH(IFERROR(LEFT($A22,FIND("银行",$A22)+1),LEFT($A22,FIND("信用合作联社",$A22)+5)),参考映射表!$A:$A,0))</f>
        <v>#VALUE!</v>
      </c>
      <c r="I22" s="12" t="e" cm="1">
        <f t="array" ref="I22">INDEX(参考映射表!I:I&amp;"",MATCH(IFERROR(LEFT($A22,FIND("银行",$A22)+1),LEFT($A22,FIND("信用合作联社",$A22)+5)),参考映射表!$A:$A,0))</f>
        <v>#VALUE!</v>
      </c>
      <c r="J22" s="12" t="e" cm="1">
        <f t="array" ref="J22">INDEX(参考映射表!J:J&amp;"",MATCH(IFERROR(LEFT($A22,FIND("银行",$A22)+1),LEFT($A22,FIND("信用合作联社",$A22)+5)),参考映射表!$A:$A,0))</f>
        <v>#VALUE!</v>
      </c>
      <c r="K22" s="12" t="e" cm="1">
        <f t="array" ref="K22">INDEX(参考映射表!K:K&amp;"",MATCH(IFERROR(LEFT($A22,FIND("银行",$A22)+1),LEFT($A22,FIND("信用合作联社",$A22)+5)),参考映射表!$A:$A,0))</f>
        <v>#VALUE!</v>
      </c>
      <c r="L22" s="12" t="e" cm="1">
        <f t="array" ref="L22">INDEX(参考映射表!L:L&amp;"",MATCH(IFERROR(LEFT($A22,FIND("银行",$A22)+1),LEFT($A22,FIND("信用合作联社",$A22)+5)),参考映射表!$A:$A,0))</f>
        <v>#VALUE!</v>
      </c>
      <c r="M22" s="12" t="e" cm="1">
        <f t="array" ref="M22">INDEX(参考映射表!M:M&amp;"",MATCH(IFERROR(LEFT($A22,FIND("银行",$A22)+1),LEFT($A22,FIND("信用合作联社",$A22)+5)),参考映射表!$A:$A,0))</f>
        <v>#VALUE!</v>
      </c>
    </row>
    <row r="23" spans="1:13">
      <c r="A23" s="13"/>
      <c r="B23" s="12" t="e" cm="1">
        <f t="array" ref="B23">INDEX(参考映射表!B:B&amp;"",MATCH(IFERROR(LEFT($A23,FIND("银行",$A23)+1),LEFT($A23,FIND("信用合作联社",$A23)+5)),参考映射表!$A:$A,0))</f>
        <v>#VALUE!</v>
      </c>
      <c r="C23" s="12" t="e" cm="1">
        <f t="array" ref="C23">INDEX(参考映射表!C:C&amp;"",MATCH(IFERROR(LEFT($A23,FIND("银行",$A23)+1),LEFT($A23,FIND("信用合作联社",$A23)+5)),参考映射表!$A:$A,0))</f>
        <v>#VALUE!</v>
      </c>
      <c r="D23" s="12" t="e" cm="1">
        <f t="array" ref="D23">INDEX(参考映射表!D:D&amp;"",MATCH(IFERROR(LEFT($A23,FIND("银行",$A23)+1),LEFT($A23,FIND("信用合作联社",$A23)+5)),参考映射表!$A:$A,0))</f>
        <v>#VALUE!</v>
      </c>
      <c r="E23" s="12" t="e" cm="1">
        <f t="array" ref="E23">INDEX(参考映射表!E:E&amp;"",MATCH(IFERROR(LEFT($A23,FIND("银行",$A23)+1),LEFT($A23,FIND("信用合作联社",$A23)+5)),参考映射表!$A:$A,0))</f>
        <v>#VALUE!</v>
      </c>
      <c r="F23" s="12" t="e" cm="1">
        <f t="array" ref="F23">INDEX(参考映射表!F:F&amp;"",MATCH(IFERROR(LEFT($A23,FIND("银行",$A23)+1),LEFT($A23,FIND("信用合作联社",$A23)+5)),参考映射表!$A:$A,0))</f>
        <v>#VALUE!</v>
      </c>
      <c r="G23" s="12" t="e" cm="1">
        <f t="array" ref="G23">INDEX(参考映射表!G:G&amp;"",MATCH(IFERROR(LEFT($A23,FIND("银行",$A23)+1),LEFT($A23,FIND("信用合作联社",$A23)+5)),参考映射表!$A:$A,0))</f>
        <v>#VALUE!</v>
      </c>
      <c r="H23" s="12" t="e" cm="1">
        <f t="array" ref="H23">INDEX(参考映射表!H:H&amp;"",MATCH(IFERROR(LEFT($A23,FIND("银行",$A23)+1),LEFT($A23,FIND("信用合作联社",$A23)+5)),参考映射表!$A:$A,0))</f>
        <v>#VALUE!</v>
      </c>
      <c r="I23" s="12" t="e" cm="1">
        <f t="array" ref="I23">INDEX(参考映射表!I:I&amp;"",MATCH(IFERROR(LEFT($A23,FIND("银行",$A23)+1),LEFT($A23,FIND("信用合作联社",$A23)+5)),参考映射表!$A:$A,0))</f>
        <v>#VALUE!</v>
      </c>
      <c r="J23" s="12" t="e" cm="1">
        <f t="array" ref="J23">INDEX(参考映射表!J:J&amp;"",MATCH(IFERROR(LEFT($A23,FIND("银行",$A23)+1),LEFT($A23,FIND("信用合作联社",$A23)+5)),参考映射表!$A:$A,0))</f>
        <v>#VALUE!</v>
      </c>
      <c r="K23" s="12" t="e" cm="1">
        <f t="array" ref="K23">INDEX(参考映射表!K:K&amp;"",MATCH(IFERROR(LEFT($A23,FIND("银行",$A23)+1),LEFT($A23,FIND("信用合作联社",$A23)+5)),参考映射表!$A:$A,0))</f>
        <v>#VALUE!</v>
      </c>
      <c r="L23" s="12" t="e" cm="1">
        <f t="array" ref="L23">INDEX(参考映射表!L:L&amp;"",MATCH(IFERROR(LEFT($A23,FIND("银行",$A23)+1),LEFT($A23,FIND("信用合作联社",$A23)+5)),参考映射表!$A:$A,0))</f>
        <v>#VALUE!</v>
      </c>
      <c r="M23" s="12" t="e" cm="1">
        <f t="array" ref="M23">INDEX(参考映射表!M:M&amp;"",MATCH(IFERROR(LEFT($A23,FIND("银行",$A23)+1),LEFT($A23,FIND("信用合作联社",$A23)+5)),参考映射表!$A:$A,0))</f>
        <v>#VALUE!</v>
      </c>
    </row>
    <row r="24" spans="1:13">
      <c r="A24" s="4"/>
      <c r="B24" s="12" t="e" cm="1">
        <f t="array" ref="B24">INDEX(参考映射表!B:B&amp;"",MATCH(IFERROR(LEFT($A24,FIND("银行",$A24)+1),LEFT($A24,FIND("信用合作联社",$A24)+5)),参考映射表!$A:$A,0))</f>
        <v>#VALUE!</v>
      </c>
      <c r="C24" s="12" t="e" cm="1">
        <f t="array" ref="C24">INDEX(参考映射表!C:C&amp;"",MATCH(IFERROR(LEFT($A24,FIND("银行",$A24)+1),LEFT($A24,FIND("信用合作联社",$A24)+5)),参考映射表!$A:$A,0))</f>
        <v>#VALUE!</v>
      </c>
      <c r="D24" s="12" t="e" cm="1">
        <f t="array" ref="D24">INDEX(参考映射表!D:D&amp;"",MATCH(IFERROR(LEFT($A24,FIND("银行",$A24)+1),LEFT($A24,FIND("信用合作联社",$A24)+5)),参考映射表!$A:$A,0))</f>
        <v>#VALUE!</v>
      </c>
      <c r="E24" s="12" t="e" cm="1">
        <f t="array" ref="E24">INDEX(参考映射表!E:E&amp;"",MATCH(IFERROR(LEFT($A24,FIND("银行",$A24)+1),LEFT($A24,FIND("信用合作联社",$A24)+5)),参考映射表!$A:$A,0))</f>
        <v>#VALUE!</v>
      </c>
      <c r="F24" s="12" t="e" cm="1">
        <f t="array" ref="F24">INDEX(参考映射表!F:F&amp;"",MATCH(IFERROR(LEFT($A24,FIND("银行",$A24)+1),LEFT($A24,FIND("信用合作联社",$A24)+5)),参考映射表!$A:$A,0))</f>
        <v>#VALUE!</v>
      </c>
      <c r="G24" s="12" t="e" cm="1">
        <f t="array" ref="G24">INDEX(参考映射表!G:G&amp;"",MATCH(IFERROR(LEFT($A24,FIND("银行",$A24)+1),LEFT($A24,FIND("信用合作联社",$A24)+5)),参考映射表!$A:$A,0))</f>
        <v>#VALUE!</v>
      </c>
      <c r="H24" s="12" t="e" cm="1">
        <f t="array" ref="H24">INDEX(参考映射表!H:H&amp;"",MATCH(IFERROR(LEFT($A24,FIND("银行",$A24)+1),LEFT($A24,FIND("信用合作联社",$A24)+5)),参考映射表!$A:$A,0))</f>
        <v>#VALUE!</v>
      </c>
      <c r="I24" s="12" t="e" cm="1">
        <f t="array" ref="I24">INDEX(参考映射表!I:I&amp;"",MATCH(IFERROR(LEFT($A24,FIND("银行",$A24)+1),LEFT($A24,FIND("信用合作联社",$A24)+5)),参考映射表!$A:$A,0))</f>
        <v>#VALUE!</v>
      </c>
      <c r="J24" s="12" t="e" cm="1">
        <f t="array" ref="J24">INDEX(参考映射表!J:J&amp;"",MATCH(IFERROR(LEFT($A24,FIND("银行",$A24)+1),LEFT($A24,FIND("信用合作联社",$A24)+5)),参考映射表!$A:$A,0))</f>
        <v>#VALUE!</v>
      </c>
      <c r="K24" s="12" t="e" cm="1">
        <f t="array" ref="K24">INDEX(参考映射表!K:K&amp;"",MATCH(IFERROR(LEFT($A24,FIND("银行",$A24)+1),LEFT($A24,FIND("信用合作联社",$A24)+5)),参考映射表!$A:$A,0))</f>
        <v>#VALUE!</v>
      </c>
      <c r="L24" s="12" t="e" cm="1">
        <f t="array" ref="L24">INDEX(参考映射表!L:L&amp;"",MATCH(IFERROR(LEFT($A24,FIND("银行",$A24)+1),LEFT($A24,FIND("信用合作联社",$A24)+5)),参考映射表!$A:$A,0))</f>
        <v>#VALUE!</v>
      </c>
      <c r="M24" s="12" t="e" cm="1">
        <f t="array" ref="M24">INDEX(参考映射表!M:M&amp;"",MATCH(IFERROR(LEFT($A24,FIND("银行",$A24)+1),LEFT($A24,FIND("信用合作联社",$A24)+5)),参考映射表!$A:$A,0))</f>
        <v>#VALUE!</v>
      </c>
    </row>
    <row r="25" spans="1:13">
      <c r="A25" s="4"/>
      <c r="B25" s="12" t="e" cm="1">
        <f t="array" ref="B25">INDEX(参考映射表!B:B&amp;"",MATCH(IFERROR(LEFT($A25,FIND("银行",$A25)+1),LEFT($A25,FIND("信用合作联社",$A25)+5)),参考映射表!$A:$A,0))</f>
        <v>#VALUE!</v>
      </c>
      <c r="C25" s="12" t="e" cm="1">
        <f t="array" ref="C25">INDEX(参考映射表!C:C&amp;"",MATCH(IFERROR(LEFT($A25,FIND("银行",$A25)+1),LEFT($A25,FIND("信用合作联社",$A25)+5)),参考映射表!$A:$A,0))</f>
        <v>#VALUE!</v>
      </c>
      <c r="D25" s="12" t="e" cm="1">
        <f t="array" ref="D25">INDEX(参考映射表!D:D&amp;"",MATCH(IFERROR(LEFT($A25,FIND("银行",$A25)+1),LEFT($A25,FIND("信用合作联社",$A25)+5)),参考映射表!$A:$A,0))</f>
        <v>#VALUE!</v>
      </c>
      <c r="E25" s="12" t="e" cm="1">
        <f t="array" ref="E25">INDEX(参考映射表!E:E&amp;"",MATCH(IFERROR(LEFT($A25,FIND("银行",$A25)+1),LEFT($A25,FIND("信用合作联社",$A25)+5)),参考映射表!$A:$A,0))</f>
        <v>#VALUE!</v>
      </c>
      <c r="F25" s="12" t="e" cm="1">
        <f t="array" ref="F25">INDEX(参考映射表!F:F&amp;"",MATCH(IFERROR(LEFT($A25,FIND("银行",$A25)+1),LEFT($A25,FIND("信用合作联社",$A25)+5)),参考映射表!$A:$A,0))</f>
        <v>#VALUE!</v>
      </c>
      <c r="G25" s="12" t="e" cm="1">
        <f t="array" ref="G25">INDEX(参考映射表!G:G&amp;"",MATCH(IFERROR(LEFT($A25,FIND("银行",$A25)+1),LEFT($A25,FIND("信用合作联社",$A25)+5)),参考映射表!$A:$A,0))</f>
        <v>#VALUE!</v>
      </c>
      <c r="H25" s="12" t="e" cm="1">
        <f t="array" ref="H25">INDEX(参考映射表!H:H&amp;"",MATCH(IFERROR(LEFT($A25,FIND("银行",$A25)+1),LEFT($A25,FIND("信用合作联社",$A25)+5)),参考映射表!$A:$A,0))</f>
        <v>#VALUE!</v>
      </c>
      <c r="I25" s="12" t="e" cm="1">
        <f t="array" ref="I25">INDEX(参考映射表!I:I&amp;"",MATCH(IFERROR(LEFT($A25,FIND("银行",$A25)+1),LEFT($A25,FIND("信用合作联社",$A25)+5)),参考映射表!$A:$A,0))</f>
        <v>#VALUE!</v>
      </c>
      <c r="J25" s="12" t="e" cm="1">
        <f t="array" ref="J25">INDEX(参考映射表!J:J&amp;"",MATCH(IFERROR(LEFT($A25,FIND("银行",$A25)+1),LEFT($A25,FIND("信用合作联社",$A25)+5)),参考映射表!$A:$A,0))</f>
        <v>#VALUE!</v>
      </c>
      <c r="K25" s="12" t="e" cm="1">
        <f t="array" ref="K25">INDEX(参考映射表!K:K&amp;"",MATCH(IFERROR(LEFT($A25,FIND("银行",$A25)+1),LEFT($A25,FIND("信用合作联社",$A25)+5)),参考映射表!$A:$A,0))</f>
        <v>#VALUE!</v>
      </c>
      <c r="L25" s="12" t="e" cm="1">
        <f t="array" ref="L25">INDEX(参考映射表!L:L&amp;"",MATCH(IFERROR(LEFT($A25,FIND("银行",$A25)+1),LEFT($A25,FIND("信用合作联社",$A25)+5)),参考映射表!$A:$A,0))</f>
        <v>#VALUE!</v>
      </c>
      <c r="M25" s="12" t="e" cm="1">
        <f t="array" ref="M25">INDEX(参考映射表!M:M&amp;"",MATCH(IFERROR(LEFT($A25,FIND("银行",$A25)+1),LEFT($A25,FIND("信用合作联社",$A25)+5)),参考映射表!$A:$A,0))</f>
        <v>#VALUE!</v>
      </c>
    </row>
    <row r="26" spans="1:13">
      <c r="A26" s="4"/>
      <c r="B26" s="12" t="e" cm="1">
        <f t="array" ref="B26">INDEX(参考映射表!B:B&amp;"",MATCH(IFERROR(LEFT($A26,FIND("银行",$A26)+1),LEFT($A26,FIND("信用合作联社",$A26)+5)),参考映射表!$A:$A,0))</f>
        <v>#VALUE!</v>
      </c>
      <c r="C26" s="12" t="e" cm="1">
        <f t="array" ref="C26">INDEX(参考映射表!C:C&amp;"",MATCH(IFERROR(LEFT($A26,FIND("银行",$A26)+1),LEFT($A26,FIND("信用合作联社",$A26)+5)),参考映射表!$A:$A,0))</f>
        <v>#VALUE!</v>
      </c>
      <c r="D26" s="12" t="e" cm="1">
        <f t="array" ref="D26">INDEX(参考映射表!D:D&amp;"",MATCH(IFERROR(LEFT($A26,FIND("银行",$A26)+1),LEFT($A26,FIND("信用合作联社",$A26)+5)),参考映射表!$A:$A,0))</f>
        <v>#VALUE!</v>
      </c>
      <c r="E26" s="12" t="e" cm="1">
        <f t="array" ref="E26">INDEX(参考映射表!E:E&amp;"",MATCH(IFERROR(LEFT($A26,FIND("银行",$A26)+1),LEFT($A26,FIND("信用合作联社",$A26)+5)),参考映射表!$A:$A,0))</f>
        <v>#VALUE!</v>
      </c>
      <c r="F26" s="12" t="e" cm="1">
        <f t="array" ref="F26">INDEX(参考映射表!F:F&amp;"",MATCH(IFERROR(LEFT($A26,FIND("银行",$A26)+1),LEFT($A26,FIND("信用合作联社",$A26)+5)),参考映射表!$A:$A,0))</f>
        <v>#VALUE!</v>
      </c>
      <c r="G26" s="12" t="e" cm="1">
        <f t="array" ref="G26">INDEX(参考映射表!G:G&amp;"",MATCH(IFERROR(LEFT($A26,FIND("银行",$A26)+1),LEFT($A26,FIND("信用合作联社",$A26)+5)),参考映射表!$A:$A,0))</f>
        <v>#VALUE!</v>
      </c>
      <c r="H26" s="12" t="e" cm="1">
        <f t="array" ref="H26">INDEX(参考映射表!H:H&amp;"",MATCH(IFERROR(LEFT($A26,FIND("银行",$A26)+1),LEFT($A26,FIND("信用合作联社",$A26)+5)),参考映射表!$A:$A,0))</f>
        <v>#VALUE!</v>
      </c>
      <c r="I26" s="12" t="e" cm="1">
        <f t="array" ref="I26">INDEX(参考映射表!I:I&amp;"",MATCH(IFERROR(LEFT($A26,FIND("银行",$A26)+1),LEFT($A26,FIND("信用合作联社",$A26)+5)),参考映射表!$A:$A,0))</f>
        <v>#VALUE!</v>
      </c>
      <c r="J26" s="12" t="e" cm="1">
        <f t="array" ref="J26">INDEX(参考映射表!J:J&amp;"",MATCH(IFERROR(LEFT($A26,FIND("银行",$A26)+1),LEFT($A26,FIND("信用合作联社",$A26)+5)),参考映射表!$A:$A,0))</f>
        <v>#VALUE!</v>
      </c>
      <c r="K26" s="12" t="e" cm="1">
        <f t="array" ref="K26">INDEX(参考映射表!K:K&amp;"",MATCH(IFERROR(LEFT($A26,FIND("银行",$A26)+1),LEFT($A26,FIND("信用合作联社",$A26)+5)),参考映射表!$A:$A,0))</f>
        <v>#VALUE!</v>
      </c>
      <c r="L26" s="12" t="e" cm="1">
        <f t="array" ref="L26">INDEX(参考映射表!L:L&amp;"",MATCH(IFERROR(LEFT($A26,FIND("银行",$A26)+1),LEFT($A26,FIND("信用合作联社",$A26)+5)),参考映射表!$A:$A,0))</f>
        <v>#VALUE!</v>
      </c>
      <c r="M26" s="12" t="e" cm="1">
        <f t="array" ref="M26">INDEX(参考映射表!M:M&amp;"",MATCH(IFERROR(LEFT($A26,FIND("银行",$A26)+1),LEFT($A26,FIND("信用合作联社",$A26)+5)),参考映射表!$A:$A,0))</f>
        <v>#VALUE!</v>
      </c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11</xdr:col>
                    <xdr:colOff>295275</xdr:colOff>
                    <xdr:row>2</xdr:row>
                    <xdr:rowOff>71120</xdr:rowOff>
                  </from>
                  <to>
                    <xdr:col>13</xdr:col>
                    <xdr:colOff>295275</xdr:colOff>
                    <xdr:row>6</xdr:row>
                    <xdr:rowOff>242570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M18"/>
  <sheetViews>
    <sheetView zoomScale="70" zoomScaleNormal="70" workbookViewId="0">
      <selection activeCell="I13" sqref="I13"/>
    </sheetView>
  </sheetViews>
  <sheetFormatPr defaultColWidth="9" defaultRowHeight="13.5"/>
  <cols>
    <col min="1" max="1" width="52.2654867256637" customWidth="1"/>
    <col min="2" max="2" width="31.5309734513274" customWidth="1"/>
    <col min="3" max="4" width="8.53097345132743" customWidth="1" outlineLevel="1"/>
    <col min="5" max="5" width="27" customWidth="1" outlineLevel="1"/>
    <col min="6" max="6" width="9.26548672566372" customWidth="1" outlineLevel="1"/>
    <col min="7" max="8" width="19.929203539823" customWidth="1"/>
    <col min="9" max="9" width="43.6637168141593" customWidth="1"/>
    <col min="10" max="10" width="29.1327433628319" customWidth="1"/>
    <col min="11" max="11" width="19.3982300884956" customWidth="1"/>
    <col min="12" max="12" width="21.5309734513274" customWidth="1"/>
    <col min="13" max="13" width="23.3274336283186" customWidth="1"/>
  </cols>
  <sheetData>
    <row r="1" ht="27" spans="1:1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</row>
    <row r="2" spans="1:13">
      <c r="A2" s="3" t="s">
        <v>14</v>
      </c>
      <c r="B2" s="3" t="s">
        <v>15</v>
      </c>
      <c r="C2" s="3"/>
      <c r="D2" s="3"/>
      <c r="E2" s="3"/>
      <c r="F2" s="3"/>
      <c r="G2" s="3" t="s">
        <v>16</v>
      </c>
      <c r="H2" s="3" t="s">
        <v>17</v>
      </c>
      <c r="I2" s="3" t="s">
        <v>8</v>
      </c>
      <c r="J2" s="3" t="s">
        <v>18</v>
      </c>
      <c r="K2" s="3" t="s">
        <v>10</v>
      </c>
      <c r="L2" s="4"/>
      <c r="M2" s="4"/>
    </row>
    <row r="3" spans="1:13">
      <c r="A3" s="4" t="s">
        <v>19</v>
      </c>
      <c r="B3" s="3" t="s">
        <v>20</v>
      </c>
      <c r="C3" s="3"/>
      <c r="D3" s="3"/>
      <c r="E3" s="3"/>
      <c r="F3" s="3"/>
      <c r="G3" s="3" t="s">
        <v>21</v>
      </c>
      <c r="H3" s="3" t="s">
        <v>22</v>
      </c>
      <c r="I3" s="3" t="s">
        <v>23</v>
      </c>
      <c r="J3" s="3" t="s">
        <v>18</v>
      </c>
      <c r="K3" s="3" t="s">
        <v>10</v>
      </c>
      <c r="L3" s="4"/>
      <c r="M3" s="4"/>
    </row>
    <row r="4" spans="1:13">
      <c r="A4" s="4" t="s">
        <v>24</v>
      </c>
      <c r="B4" s="3" t="s">
        <v>25</v>
      </c>
      <c r="C4" s="3"/>
      <c r="D4" s="3"/>
      <c r="E4" s="3"/>
      <c r="F4" s="3"/>
      <c r="G4" s="3" t="s">
        <v>26</v>
      </c>
      <c r="H4" s="3" t="s">
        <v>27</v>
      </c>
      <c r="I4" s="3" t="s">
        <v>8</v>
      </c>
      <c r="J4" s="3" t="s">
        <v>28</v>
      </c>
      <c r="K4" s="3" t="s">
        <v>10</v>
      </c>
      <c r="L4" s="4"/>
      <c r="M4" s="4"/>
    </row>
    <row r="5" spans="1:13">
      <c r="A5" s="4" t="s">
        <v>29</v>
      </c>
      <c r="B5" s="3" t="s">
        <v>30</v>
      </c>
      <c r="C5" s="3" t="s">
        <v>31</v>
      </c>
      <c r="D5" s="3" t="s">
        <v>32</v>
      </c>
      <c r="E5" s="3" t="s">
        <v>33</v>
      </c>
      <c r="F5" s="3" t="s">
        <v>34</v>
      </c>
      <c r="G5" s="3"/>
      <c r="H5" s="3"/>
      <c r="I5" s="3" t="s">
        <v>35</v>
      </c>
      <c r="J5" s="3" t="s">
        <v>36</v>
      </c>
      <c r="K5" s="3" t="s">
        <v>10</v>
      </c>
      <c r="L5" s="4"/>
      <c r="M5" s="4"/>
    </row>
    <row r="6" spans="1:13">
      <c r="A6" s="4" t="s">
        <v>37</v>
      </c>
      <c r="B6" s="3" t="s">
        <v>30</v>
      </c>
      <c r="C6" s="3"/>
      <c r="D6" s="3"/>
      <c r="E6" s="3"/>
      <c r="F6" s="3"/>
      <c r="G6" s="3" t="s">
        <v>38</v>
      </c>
      <c r="H6" s="3" t="s">
        <v>39</v>
      </c>
      <c r="I6" s="3" t="s">
        <v>8</v>
      </c>
      <c r="J6" s="3" t="s">
        <v>40</v>
      </c>
      <c r="K6" s="3" t="s">
        <v>10</v>
      </c>
      <c r="L6" s="4"/>
      <c r="M6" s="4"/>
    </row>
    <row r="7" spans="1:13">
      <c r="A7" s="4" t="s">
        <v>41</v>
      </c>
      <c r="B7" s="3" t="s">
        <v>42</v>
      </c>
      <c r="C7" s="3" t="s">
        <v>31</v>
      </c>
      <c r="D7" s="3" t="s">
        <v>32</v>
      </c>
      <c r="E7" s="3" t="s">
        <v>43</v>
      </c>
      <c r="F7" s="3" t="s">
        <v>34</v>
      </c>
      <c r="G7" s="3"/>
      <c r="H7" s="3"/>
      <c r="I7" s="3" t="s">
        <v>44</v>
      </c>
      <c r="J7" s="3" t="s">
        <v>34</v>
      </c>
      <c r="K7" s="3" t="s">
        <v>45</v>
      </c>
      <c r="L7" s="8" t="s">
        <v>46</v>
      </c>
      <c r="M7" s="9" t="s">
        <v>47</v>
      </c>
    </row>
    <row r="8" spans="1:13">
      <c r="A8" s="4" t="s">
        <v>48</v>
      </c>
      <c r="B8" s="3" t="s">
        <v>30</v>
      </c>
      <c r="C8" s="3"/>
      <c r="D8" s="3"/>
      <c r="E8" s="3"/>
      <c r="F8" s="3"/>
      <c r="G8" s="3" t="s">
        <v>6</v>
      </c>
      <c r="H8" s="3" t="s">
        <v>7</v>
      </c>
      <c r="I8" s="3" t="s">
        <v>8</v>
      </c>
      <c r="J8" s="3" t="s">
        <v>18</v>
      </c>
      <c r="K8" s="3" t="s">
        <v>10</v>
      </c>
      <c r="L8" s="4"/>
      <c r="M8" s="4"/>
    </row>
    <row r="9" spans="1:13">
      <c r="A9" s="4" t="s">
        <v>49</v>
      </c>
      <c r="B9" s="3" t="s">
        <v>15</v>
      </c>
      <c r="C9" s="3"/>
      <c r="D9" s="3"/>
      <c r="E9" s="3"/>
      <c r="F9" s="3"/>
      <c r="G9" s="3" t="s">
        <v>26</v>
      </c>
      <c r="H9" s="3" t="s">
        <v>27</v>
      </c>
      <c r="I9" s="3" t="s">
        <v>8</v>
      </c>
      <c r="J9" s="3" t="s">
        <v>18</v>
      </c>
      <c r="K9" s="3" t="s">
        <v>10</v>
      </c>
      <c r="L9" s="4"/>
      <c r="M9" s="4"/>
    </row>
    <row r="10" spans="1:13">
      <c r="A10" s="4" t="s">
        <v>50</v>
      </c>
      <c r="B10" s="3" t="s">
        <v>15</v>
      </c>
      <c r="C10" s="3"/>
      <c r="D10" s="3"/>
      <c r="E10" s="3"/>
      <c r="F10" s="3"/>
      <c r="G10" s="3" t="s">
        <v>16</v>
      </c>
      <c r="H10" s="3" t="s">
        <v>17</v>
      </c>
      <c r="I10" s="3" t="s">
        <v>23</v>
      </c>
      <c r="J10" s="3" t="s">
        <v>36</v>
      </c>
      <c r="K10" s="3" t="s">
        <v>10</v>
      </c>
      <c r="L10" s="4"/>
      <c r="M10" s="4"/>
    </row>
    <row r="11" spans="1:13">
      <c r="A11" s="4" t="s">
        <v>51</v>
      </c>
      <c r="B11" s="3" t="s">
        <v>30</v>
      </c>
      <c r="C11" s="3"/>
      <c r="D11" s="3"/>
      <c r="E11" s="3"/>
      <c r="F11" s="3"/>
      <c r="G11" s="3" t="s">
        <v>52</v>
      </c>
      <c r="H11" s="3" t="s">
        <v>53</v>
      </c>
      <c r="I11" s="3" t="s">
        <v>8</v>
      </c>
      <c r="J11" s="3" t="s">
        <v>18</v>
      </c>
      <c r="K11" s="3" t="s">
        <v>10</v>
      </c>
      <c r="L11" s="4"/>
      <c r="M11" s="4"/>
    </row>
    <row r="12" spans="1:13">
      <c r="A12" s="4" t="s">
        <v>54</v>
      </c>
      <c r="B12" s="5" t="s">
        <v>30</v>
      </c>
      <c r="C12" s="3"/>
      <c r="D12" s="3"/>
      <c r="E12" s="3"/>
      <c r="F12" s="3"/>
      <c r="G12" s="5" t="s">
        <v>55</v>
      </c>
      <c r="H12" s="5" t="s">
        <v>56</v>
      </c>
      <c r="I12" s="5" t="s">
        <v>23</v>
      </c>
      <c r="J12" s="5" t="s">
        <v>18</v>
      </c>
      <c r="K12" s="5" t="s">
        <v>10</v>
      </c>
      <c r="L12" s="4"/>
      <c r="M12" s="4"/>
    </row>
    <row r="13" spans="1:13">
      <c r="A13" s="4" t="s">
        <v>57</v>
      </c>
      <c r="B13" s="4" t="s">
        <v>15</v>
      </c>
      <c r="C13" s="4"/>
      <c r="D13" s="4"/>
      <c r="E13" s="4"/>
      <c r="F13" s="4"/>
      <c r="G13" s="4" t="s">
        <v>55</v>
      </c>
      <c r="H13" s="4" t="s">
        <v>56</v>
      </c>
      <c r="I13" s="4" t="s">
        <v>8</v>
      </c>
      <c r="J13" s="4" t="s">
        <v>18</v>
      </c>
      <c r="K13" s="4" t="s">
        <v>10</v>
      </c>
      <c r="L13" s="4"/>
      <c r="M13" s="4"/>
    </row>
    <row r="14" spans="1:13">
      <c r="A14" s="4" t="s">
        <v>58</v>
      </c>
      <c r="B14" s="4" t="s">
        <v>15</v>
      </c>
      <c r="C14" s="4"/>
      <c r="D14" s="4"/>
      <c r="E14" s="4"/>
      <c r="F14" s="4"/>
      <c r="G14" s="4" t="s">
        <v>16</v>
      </c>
      <c r="H14" s="4" t="s">
        <v>17</v>
      </c>
      <c r="I14" s="4" t="s">
        <v>23</v>
      </c>
      <c r="J14" s="4" t="s">
        <v>59</v>
      </c>
      <c r="K14" s="4" t="s">
        <v>10</v>
      </c>
      <c r="L14" s="4"/>
      <c r="M14" s="4"/>
    </row>
    <row r="15" spans="1:13">
      <c r="A15" s="4" t="s">
        <v>60</v>
      </c>
      <c r="B15" s="4" t="s">
        <v>15</v>
      </c>
      <c r="C15" s="4" t="s">
        <v>6</v>
      </c>
      <c r="D15" s="4" t="s">
        <v>7</v>
      </c>
      <c r="E15" s="4" t="s">
        <v>61</v>
      </c>
      <c r="F15" s="4" t="s">
        <v>62</v>
      </c>
      <c r="G15" s="4"/>
      <c r="H15" s="4"/>
      <c r="I15" s="4" t="s">
        <v>23</v>
      </c>
      <c r="J15" s="4" t="s">
        <v>18</v>
      </c>
      <c r="K15" s="4" t="s">
        <v>63</v>
      </c>
      <c r="L15" s="4"/>
      <c r="M15" s="4"/>
    </row>
    <row r="16" spans="1:13">
      <c r="A16" s="4" t="s">
        <v>64</v>
      </c>
      <c r="B16" s="3" t="s">
        <v>30</v>
      </c>
      <c r="C16" s="3"/>
      <c r="D16" s="3"/>
      <c r="E16" s="3"/>
      <c r="F16" s="3"/>
      <c r="G16" s="3" t="s">
        <v>6</v>
      </c>
      <c r="H16" s="3" t="s">
        <v>7</v>
      </c>
      <c r="I16" s="3" t="s">
        <v>23</v>
      </c>
      <c r="J16" s="3" t="s">
        <v>18</v>
      </c>
      <c r="K16" s="3" t="s">
        <v>65</v>
      </c>
      <c r="L16" s="4"/>
      <c r="M16" s="4"/>
    </row>
    <row r="17" spans="1:13">
      <c r="A17" s="4" t="s">
        <v>66</v>
      </c>
      <c r="B17" s="6" t="s">
        <v>30</v>
      </c>
      <c r="C17" s="7"/>
      <c r="D17" s="7"/>
      <c r="E17" s="7"/>
      <c r="F17" s="7"/>
      <c r="G17" s="7" t="s">
        <v>16</v>
      </c>
      <c r="H17" s="7" t="s">
        <v>17</v>
      </c>
      <c r="I17" s="7" t="s">
        <v>23</v>
      </c>
      <c r="J17" s="7" t="s">
        <v>67</v>
      </c>
      <c r="K17" s="7" t="s">
        <v>10</v>
      </c>
      <c r="L17" s="4"/>
      <c r="M17" s="4"/>
    </row>
    <row r="18" spans="1:13">
      <c r="A18" s="4" t="s">
        <v>13</v>
      </c>
      <c r="B18" s="3" t="s">
        <v>42</v>
      </c>
      <c r="C18" s="3" t="s">
        <v>31</v>
      </c>
      <c r="D18" s="3" t="s">
        <v>32</v>
      </c>
      <c r="E18" s="3" t="s">
        <v>43</v>
      </c>
      <c r="F18" s="3" t="s">
        <v>34</v>
      </c>
      <c r="G18" s="3"/>
      <c r="H18" s="3"/>
      <c r="I18" s="3" t="s">
        <v>44</v>
      </c>
      <c r="J18" s="3" t="s">
        <v>34</v>
      </c>
      <c r="K18" s="3" t="s">
        <v>45</v>
      </c>
      <c r="L18" s="8" t="s">
        <v>46</v>
      </c>
      <c r="M18" s="9" t="s">
        <v>47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配置映射表</vt:lpstr>
      <vt:lpstr>参考映射表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叶放</cp:lastModifiedBy>
  <dcterms:created xsi:type="dcterms:W3CDTF">2024-12-31T01:13:00Z</dcterms:created>
  <dcterms:modified xsi:type="dcterms:W3CDTF">2025-01-10T03:26:04Z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2052-12.1.0.19302</vt:lpwstr>
  </property>
  <property fmtid="{D5CDD505-2E9C-101B-9397-08002B2CF9AE}" pid="3" name="ICV">
    <vt:lpwstr>24DADB64CD124FB8BA055BECE08EF77B_13</vt:lpwstr>
  </property>
</Properties>
</file>